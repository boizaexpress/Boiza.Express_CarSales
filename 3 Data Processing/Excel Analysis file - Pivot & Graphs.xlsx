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Car Sales_case_study\"/>
    </mc:Choice>
  </mc:AlternateContent>
  <xr:revisionPtr revIDLastSave="0" documentId="8_{C20C5095-EA9B-4E9E-895D-287A5C635444}" xr6:coauthVersionLast="47" xr6:coauthVersionMax="47" xr10:uidLastSave="{00000000-0000-0000-0000-000000000000}"/>
  <bookViews>
    <workbookView xWindow="-110" yWindow="-110" windowWidth="19420" windowHeight="10300" activeTab="1" xr2:uid="{C24DD45D-A713-48F2-A1B5-865A238B83FF}"/>
  </bookViews>
  <sheets>
    <sheet name="car_sales_2025-11-15-1415" sheetId="1" r:id="rId1"/>
    <sheet name="Tables" sheetId="3" r:id="rId2"/>
  </sheets>
  <definedNames>
    <definedName name="_xlnm._FilterDatabase" localSheetId="0" hidden="1">'car_sales_2025-11-15-1415'!$A$1:$P$21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<sst xmlns="http://schemas.openxmlformats.org/spreadsheetml/2006/main" count="331" uniqueCount="157">
  <si>
    <t>YEAR</t>
  </si>
  <si>
    <t>MAKE</t>
  </si>
  <si>
    <t>MODEL</t>
  </si>
  <si>
    <t>TRIM</t>
  </si>
  <si>
    <t>TRANSMISSION</t>
  </si>
  <si>
    <t>VIN</t>
  </si>
  <si>
    <t>STATE</t>
  </si>
  <si>
    <t>CONDITION</t>
  </si>
  <si>
    <t>COLOR</t>
  </si>
  <si>
    <t>SALEDATE</t>
  </si>
  <si>
    <t>FULLTIMESTAMP</t>
  </si>
  <si>
    <t>SALEDATEONLY</t>
  </si>
  <si>
    <t>SALETIMEONLY</t>
  </si>
  <si>
    <t>PRICE_BUCKET</t>
  </si>
  <si>
    <t>TOTAL_SALES_COUNT</t>
  </si>
  <si>
    <t>TOTAL_REVENUE</t>
  </si>
  <si>
    <t>GMC</t>
  </si>
  <si>
    <t>Sierra 1500</t>
  </si>
  <si>
    <t>SLE1</t>
  </si>
  <si>
    <t>automatic</t>
  </si>
  <si>
    <t>1gtek19j48z176557</t>
  </si>
  <si>
    <t>fl</t>
  </si>
  <si>
    <t>silver</t>
  </si>
  <si>
    <t>Thu Jan 22 2015 08:20:00</t>
  </si>
  <si>
    <t>2015-01-22 08:20:00.000</t>
  </si>
  <si>
    <t>08:20:00.000</t>
  </si>
  <si>
    <t>Cheap</t>
  </si>
  <si>
    <t>Jeep</t>
  </si>
  <si>
    <t>Grand Cherokee</t>
  </si>
  <si>
    <t>Limited</t>
  </si>
  <si>
    <t>1j4hr58206c323543</t>
  </si>
  <si>
    <t>nv</t>
  </si>
  <si>
    <t>Fri Jan 16 2015 03:45:00</t>
  </si>
  <si>
    <t>2015-01-16 03:45:00.000</t>
  </si>
  <si>
    <t>03:45:00.000</t>
  </si>
  <si>
    <t>Dodge</t>
  </si>
  <si>
    <t>Durango</t>
  </si>
  <si>
    <t>SXT</t>
  </si>
  <si>
    <t>1d4hb38nx5f584476</t>
  </si>
  <si>
    <t>pa</t>
  </si>
  <si>
    <t>blue</t>
  </si>
  <si>
    <t>Fri Jan 16 2015 01:00:00</t>
  </si>
  <si>
    <t>2015-01-16 01:00:00.000</t>
  </si>
  <si>
    <t>01:00:00.000</t>
  </si>
  <si>
    <t>Ford</t>
  </si>
  <si>
    <t>Freestar</t>
  </si>
  <si>
    <t>SE</t>
  </si>
  <si>
    <t>2fmza51684ba50097</t>
  </si>
  <si>
    <t>gold</t>
  </si>
  <si>
    <t>Thu Jan 15 2015 03:00:00</t>
  </si>
  <si>
    <t>2015-01-15 03:00:00.000</t>
  </si>
  <si>
    <t>03:00:00.000</t>
  </si>
  <si>
    <t>Acura</t>
  </si>
  <si>
    <t>TSX</t>
  </si>
  <si>
    <t>Base</t>
  </si>
  <si>
    <t>jh4cu2f4xcc003075</t>
  </si>
  <si>
    <t>gray</t>
  </si>
  <si>
    <t>Fri Jan 16 2015 04:00:00</t>
  </si>
  <si>
    <t>2015-01-16 04:00:00.000</t>
  </si>
  <si>
    <t>04:00:00.000</t>
  </si>
  <si>
    <t>BMW</t>
  </si>
  <si>
    <t>5 Series</t>
  </si>
  <si>
    <t>528i</t>
  </si>
  <si>
    <t>wbaxg5c56ddy34896</t>
  </si>
  <si>
    <t>white</t>
  </si>
  <si>
    <t>Thu Jan 15 2015 02:30:00</t>
  </si>
  <si>
    <t>2015-01-15 02:30:00.000</t>
  </si>
  <si>
    <t>02:30:00.000</t>
  </si>
  <si>
    <t>Hyundai</t>
  </si>
  <si>
    <t>Sonata</t>
  </si>
  <si>
    <t>GLS</t>
  </si>
  <si>
    <t>5npeb4ac4ch390981</t>
  </si>
  <si>
    <t>tx</t>
  </si>
  <si>
    <t>black</t>
  </si>
  <si>
    <t>Tue Jan 20 2015 02:30:00</t>
  </si>
  <si>
    <t>2015-01-20 02:30:00.000</t>
  </si>
  <si>
    <t>Infiniti</t>
  </si>
  <si>
    <t>G35</t>
  </si>
  <si>
    <t>manual</t>
  </si>
  <si>
    <t>jnkcv54e25m423405</t>
  </si>
  <si>
    <t>ca</t>
  </si>
  <si>
    <t>Wed Jan 14 2015 04:15:00</t>
  </si>
  <si>
    <t>2015-01-14 04:15:00.000</t>
  </si>
  <si>
    <t>04:15:00.000</t>
  </si>
  <si>
    <t>Chrysler</t>
  </si>
  <si>
    <t>Sebring</t>
  </si>
  <si>
    <t>Touring</t>
  </si>
  <si>
    <t>1c3cc4fb5an157536</t>
  </si>
  <si>
    <t>il</t>
  </si>
  <si>
    <t>Tue Jan 20 2015 02:00:00</t>
  </si>
  <si>
    <t>2015-01-20 02:00:00.000</t>
  </si>
  <si>
    <t>02:00:00.000</t>
  </si>
  <si>
    <t>Taurus</t>
  </si>
  <si>
    <t>SHO</t>
  </si>
  <si>
    <t>1fahp2kt9dg144490</t>
  </si>
  <si>
    <t>mo</t>
  </si>
  <si>
    <t>Wed Jan 21 2015 02:30:00</t>
  </si>
  <si>
    <t>2015-01-21 02:30:00.000</t>
  </si>
  <si>
    <t>Chevrolet</t>
  </si>
  <si>
    <t>Equinox</t>
  </si>
  <si>
    <t>LT</t>
  </si>
  <si>
    <t>2gnalcek3e6126124</t>
  </si>
  <si>
    <t>az</t>
  </si>
  <si>
    <t>Thu Jan 22 2015 03:30:00</t>
  </si>
  <si>
    <t>2015-01-22 03:30:00.000</t>
  </si>
  <si>
    <t>03:30:00.000</t>
  </si>
  <si>
    <t>Lexus</t>
  </si>
  <si>
    <t>IS 250</t>
  </si>
  <si>
    <t>jthck262485018879</t>
  </si>
  <si>
    <t>Crossfire</t>
  </si>
  <si>
    <t>1c3an69lx5x038912</t>
  </si>
  <si>
    <t>nc</t>
  </si>
  <si>
    <t>â€”</t>
  </si>
  <si>
    <t>Wed Jan 14 2015 06:30:00</t>
  </si>
  <si>
    <t>2015-01-14 06:30:00.000</t>
  </si>
  <si>
    <t>06:30:00.000</t>
  </si>
  <si>
    <t>MDX</t>
  </si>
  <si>
    <t>2hnyd28337h515298</t>
  </si>
  <si>
    <t>ga</t>
  </si>
  <si>
    <t>Thu Jan 22 2015 02:00:00</t>
  </si>
  <si>
    <t>2015-01-22 02:00:00.000</t>
  </si>
  <si>
    <t>SEL</t>
  </si>
  <si>
    <t>1fafp56s74a107161</t>
  </si>
  <si>
    <t>Tue Jan 20 2015 01:30:00</t>
  </si>
  <si>
    <t>2015-01-20 01:30:00.000</t>
  </si>
  <si>
    <t>01:30:00.000</t>
  </si>
  <si>
    <t>Mercedes-Benz</t>
  </si>
  <si>
    <t>C-Class</t>
  </si>
  <si>
    <t>C320</t>
  </si>
  <si>
    <t>wdbrf64j81f013975</t>
  </si>
  <si>
    <t>Thu Jan 22 2015 04:00:00</t>
  </si>
  <si>
    <t>2015-01-22 04:00:00.000</t>
  </si>
  <si>
    <t>C/K 2500 Series</t>
  </si>
  <si>
    <t>Silverado</t>
  </si>
  <si>
    <t>2gcfk29k8s1298048</t>
  </si>
  <si>
    <t>Thu Feb 19 2015 04:00:00</t>
  </si>
  <si>
    <t>2015-02-19 04:00:00.000</t>
  </si>
  <si>
    <t>Honda</t>
  </si>
  <si>
    <t>CR-V</t>
  </si>
  <si>
    <t>EX</t>
  </si>
  <si>
    <t>jhlrm4h53cc003595</t>
  </si>
  <si>
    <t>Fri Jan 23 2015 01:00:00</t>
  </si>
  <si>
    <t>2015-01-23 01:00:00.000</t>
  </si>
  <si>
    <t>G Sedan</t>
  </si>
  <si>
    <t>G25x</t>
  </si>
  <si>
    <t>jn1dv6arxcm730257</t>
  </si>
  <si>
    <t>Nissan</t>
  </si>
  <si>
    <t>Altima</t>
  </si>
  <si>
    <t>2.5 S</t>
  </si>
  <si>
    <t>1n4al2apxcc158275</t>
  </si>
  <si>
    <t>nj</t>
  </si>
  <si>
    <t>Wed Jan 21 2015 01:30:00</t>
  </si>
  <si>
    <t>2015-01-21 01:30:00.000</t>
  </si>
  <si>
    <t>Sum of TOTAL_REVENUE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</si>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</sst>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 &amp; Graphs.xlsx]Tables!PivotTable5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Revenue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6.8259385665529011E-3"/>
              <c:y val="-0.35648148148148151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1.1376564277588085E-2"/>
              <c:y val="-0.27314814814814825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1.1376564277588168E-2"/>
              <c:y val="-9.2592592592592671E-2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5506257110352671E-3"/>
              <c:y val="-6.9444444444444531E-2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5506257110352671E-3"/>
              <c:y val="-0.1388888888888889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2753128555176336E-3"/>
              <c:y val="-8.7962962962962965E-2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"/>
              <c:y val="-9.2592592592592587E-2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4.1713587138905095E-17"/>
              <c:y val="-0.1435185185185186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2753128555176336E-3"/>
              <c:y val="-7.407407407407425E-2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2.0856793569452547E-17"/>
              <c:y val="-6.9444444444444448E-2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2753128555176336E-3"/>
              <c:y val="-8.3333333333333329E-2"/>
            </c:manualLayout>
          </c:layout>
          <c:spPr>
            <a:solidFill>
              <a:srgbClr val="FFFF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246-487A-A3A0-5CE233A31F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46-487A-A3A0-5CE233A31F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246-487A-A3A0-5CE233A31F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46-487A-A3A0-5CE233A31F7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246-487A-A3A0-5CE233A31F7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46-487A-A3A0-5CE233A31F7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46-487A-A3A0-5CE233A31F7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46-487A-A3A0-5CE233A31F7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246-487A-A3A0-5CE233A31F7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46-487A-A3A0-5CE233A31F7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46-487A-A3A0-5CE233A31F70}"/>
              </c:ext>
            </c:extLst>
          </c:dPt>
          <c:dLbls>
            <c:dLbl>
              <c:idx val="0"/>
              <c:layout>
                <c:manualLayout>
                  <c:x val="2.2753128555176336E-3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46-487A-A3A0-5CE233A31F70}"/>
                </c:ext>
              </c:extLst>
            </c:dLbl>
            <c:dLbl>
              <c:idx val="1"/>
              <c:layout>
                <c:manualLayout>
                  <c:x val="-2.0856793569452547E-17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46-487A-A3A0-5CE233A31F70}"/>
                </c:ext>
              </c:extLst>
            </c:dLbl>
            <c:dLbl>
              <c:idx val="2"/>
              <c:layout>
                <c:manualLayout>
                  <c:x val="2.2753128555176336E-3"/>
                  <c:y val="-7.4074074074074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46-487A-A3A0-5CE233A31F70}"/>
                </c:ext>
              </c:extLst>
            </c:dLbl>
            <c:dLbl>
              <c:idx val="3"/>
              <c:layout>
                <c:manualLayout>
                  <c:x val="-4.1713587138905095E-17"/>
                  <c:y val="-0.1435185185185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46-487A-A3A0-5CE233A31F70}"/>
                </c:ext>
              </c:extLst>
            </c:dLbl>
            <c:dLbl>
              <c:idx val="4"/>
              <c:layout>
                <c:manualLayout>
                  <c:x val="0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46-487A-A3A0-5CE233A31F70}"/>
                </c:ext>
              </c:extLst>
            </c:dLbl>
            <c:dLbl>
              <c:idx val="5"/>
              <c:layout>
                <c:manualLayout>
                  <c:x val="2.2753128555176336E-3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46-487A-A3A0-5CE233A31F70}"/>
                </c:ext>
              </c:extLst>
            </c:dLbl>
            <c:dLbl>
              <c:idx val="6"/>
              <c:layout>
                <c:manualLayout>
                  <c:x val="4.5506257110352671E-3"/>
                  <c:y val="-0.13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46-487A-A3A0-5CE233A31F70}"/>
                </c:ext>
              </c:extLst>
            </c:dLbl>
            <c:dLbl>
              <c:idx val="7"/>
              <c:layout>
                <c:manualLayout>
                  <c:x val="4.5506257110352671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46-487A-A3A0-5CE233A31F70}"/>
                </c:ext>
              </c:extLst>
            </c:dLbl>
            <c:dLbl>
              <c:idx val="8"/>
              <c:layout>
                <c:manualLayout>
                  <c:x val="6.8259385665529011E-3"/>
                  <c:y val="-0.356481481481481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46-487A-A3A0-5CE233A31F70}"/>
                </c:ext>
              </c:extLst>
            </c:dLbl>
            <c:dLbl>
              <c:idx val="9"/>
              <c:layout>
                <c:manualLayout>
                  <c:x val="1.1376564277588085E-2"/>
                  <c:y val="-0.273148148148148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46-487A-A3A0-5CE233A31F70}"/>
                </c:ext>
              </c:extLst>
            </c:dLbl>
            <c:dLbl>
              <c:idx val="10"/>
              <c:layout>
                <c:manualLayout>
                  <c:x val="1.1376564277588168E-2"/>
                  <c:y val="-9.2592592592592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46-487A-A3A0-5CE233A31F70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Tables!$A$4:$A$15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Tables!$B$4:$B$15</c:f>
              <c:numCache>
                <c:formatCode>General</c:formatCode>
                <c:ptCount val="11"/>
                <c:pt idx="0">
                  <c:v>1800</c:v>
                </c:pt>
                <c:pt idx="1">
                  <c:v>2600</c:v>
                </c:pt>
                <c:pt idx="2">
                  <c:v>2400</c:v>
                </c:pt>
                <c:pt idx="3">
                  <c:v>23500</c:v>
                </c:pt>
                <c:pt idx="4">
                  <c:v>13200</c:v>
                </c:pt>
                <c:pt idx="5">
                  <c:v>11500</c:v>
                </c:pt>
                <c:pt idx="6">
                  <c:v>26000</c:v>
                </c:pt>
                <c:pt idx="7">
                  <c:v>5500</c:v>
                </c:pt>
                <c:pt idx="8">
                  <c:v>72200</c:v>
                </c:pt>
                <c:pt idx="9">
                  <c:v>54800</c:v>
                </c:pt>
                <c:pt idx="10">
                  <c:v>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B-4132-91E1-6F45DF7A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4777792"/>
        <c:axId val="1594789312"/>
      </c:barChart>
      <c:catAx>
        <c:axId val="159477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89312"/>
        <c:crosses val="autoZero"/>
        <c:auto val="1"/>
        <c:lblAlgn val="ctr"/>
        <c:lblOffset val="100"/>
        <c:noMultiLvlLbl val="0"/>
      </c:catAx>
      <c:valAx>
        <c:axId val="15947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 &amp; Graphs.xlsx]Tables!PivotTable6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</a:t>
            </a:r>
            <a:r>
              <a:rPr lang="en-ZA" baseline="0"/>
              <a:t> by Model and color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Tables!$B$18:$B$19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Tables!$A$20:$A$38</c:f>
              <c:strCache>
                <c:ptCount val="18"/>
                <c:pt idx="0">
                  <c:v>5 Series</c:v>
                </c:pt>
                <c:pt idx="1">
                  <c:v>Altima</c:v>
                </c:pt>
                <c:pt idx="2">
                  <c:v>C/K 2500 Series</c:v>
                </c:pt>
                <c:pt idx="3">
                  <c:v>C-Class</c:v>
                </c:pt>
                <c:pt idx="4">
                  <c:v>CR-V</c:v>
                </c:pt>
                <c:pt idx="5">
                  <c:v>Durango</c:v>
                </c:pt>
                <c:pt idx="6">
                  <c:v>Equinox</c:v>
                </c:pt>
                <c:pt idx="7">
                  <c:v>Freestar</c:v>
                </c:pt>
                <c:pt idx="8">
                  <c:v>G Sedan</c:v>
                </c:pt>
                <c:pt idx="9">
                  <c:v>G35</c:v>
                </c:pt>
                <c:pt idx="10">
                  <c:v>Grand Cherokee</c:v>
                </c:pt>
                <c:pt idx="11">
                  <c:v>IS 250</c:v>
                </c:pt>
                <c:pt idx="12">
                  <c:v>MDX</c:v>
                </c:pt>
                <c:pt idx="13">
                  <c:v>Sebring</c:v>
                </c:pt>
                <c:pt idx="14">
                  <c:v>Sierra 1500</c:v>
                </c:pt>
                <c:pt idx="15">
                  <c:v>Sonata</c:v>
                </c:pt>
                <c:pt idx="16">
                  <c:v>Taurus</c:v>
                </c:pt>
                <c:pt idx="17">
                  <c:v>TSX</c:v>
                </c:pt>
              </c:strCache>
            </c:strRef>
          </c:cat>
          <c:val>
            <c:numRef>
              <c:f>Tables!$B$20:$B$38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5.1111111111111114E-2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5.0666666666666665E-2</c:v>
                </c:pt>
                <c:pt idx="16">
                  <c:v>6.6666666666666671E-3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E-40DB-B97D-2AA94E2A2DA6}"/>
            </c:ext>
          </c:extLst>
        </c:ser>
        <c:ser>
          <c:idx val="1"/>
          <c:order val="1"/>
          <c:tx>
            <c:strRef>
              <c:f>Tables!$C$18:$C$19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Tables!$A$20:$A$38</c:f>
              <c:strCache>
                <c:ptCount val="18"/>
                <c:pt idx="0">
                  <c:v>5 Series</c:v>
                </c:pt>
                <c:pt idx="1">
                  <c:v>Altima</c:v>
                </c:pt>
                <c:pt idx="2">
                  <c:v>C/K 2500 Series</c:v>
                </c:pt>
                <c:pt idx="3">
                  <c:v>C-Class</c:v>
                </c:pt>
                <c:pt idx="4">
                  <c:v>CR-V</c:v>
                </c:pt>
                <c:pt idx="5">
                  <c:v>Durango</c:v>
                </c:pt>
                <c:pt idx="6">
                  <c:v>Equinox</c:v>
                </c:pt>
                <c:pt idx="7">
                  <c:v>Freestar</c:v>
                </c:pt>
                <c:pt idx="8">
                  <c:v>G Sedan</c:v>
                </c:pt>
                <c:pt idx="9">
                  <c:v>G35</c:v>
                </c:pt>
                <c:pt idx="10">
                  <c:v>Grand Cherokee</c:v>
                </c:pt>
                <c:pt idx="11">
                  <c:v>IS 250</c:v>
                </c:pt>
                <c:pt idx="12">
                  <c:v>MDX</c:v>
                </c:pt>
                <c:pt idx="13">
                  <c:v>Sebring</c:v>
                </c:pt>
                <c:pt idx="14">
                  <c:v>Sierra 1500</c:v>
                </c:pt>
                <c:pt idx="15">
                  <c:v>Sonata</c:v>
                </c:pt>
                <c:pt idx="16">
                  <c:v>Taurus</c:v>
                </c:pt>
                <c:pt idx="17">
                  <c:v>TSX</c:v>
                </c:pt>
              </c:strCache>
            </c:strRef>
          </c:cat>
          <c:val>
            <c:numRef>
              <c:f>Tables!$C$20:$C$38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2.711111111111111E-2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2.4444444444444446E-2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E-40DB-B97D-2AA94E2A2DA6}"/>
            </c:ext>
          </c:extLst>
        </c:ser>
        <c:ser>
          <c:idx val="2"/>
          <c:order val="2"/>
          <c:tx>
            <c:strRef>
              <c:f>Tables!$D$18:$D$19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Tables!$A$20:$A$38</c:f>
              <c:strCache>
                <c:ptCount val="18"/>
                <c:pt idx="0">
                  <c:v>5 Series</c:v>
                </c:pt>
                <c:pt idx="1">
                  <c:v>Altima</c:v>
                </c:pt>
                <c:pt idx="2">
                  <c:v>C/K 2500 Series</c:v>
                </c:pt>
                <c:pt idx="3">
                  <c:v>C-Class</c:v>
                </c:pt>
                <c:pt idx="4">
                  <c:v>CR-V</c:v>
                </c:pt>
                <c:pt idx="5">
                  <c:v>Durango</c:v>
                </c:pt>
                <c:pt idx="6">
                  <c:v>Equinox</c:v>
                </c:pt>
                <c:pt idx="7">
                  <c:v>Freestar</c:v>
                </c:pt>
                <c:pt idx="8">
                  <c:v>G Sedan</c:v>
                </c:pt>
                <c:pt idx="9">
                  <c:v>G35</c:v>
                </c:pt>
                <c:pt idx="10">
                  <c:v>Grand Cherokee</c:v>
                </c:pt>
                <c:pt idx="11">
                  <c:v>IS 250</c:v>
                </c:pt>
                <c:pt idx="12">
                  <c:v>MDX</c:v>
                </c:pt>
                <c:pt idx="13">
                  <c:v>Sebring</c:v>
                </c:pt>
                <c:pt idx="14">
                  <c:v>Sierra 1500</c:v>
                </c:pt>
                <c:pt idx="15">
                  <c:v>Sonata</c:v>
                </c:pt>
                <c:pt idx="16">
                  <c:v>Taurus</c:v>
                </c:pt>
                <c:pt idx="17">
                  <c:v>TSX</c:v>
                </c:pt>
              </c:strCache>
            </c:strRef>
          </c:cat>
          <c:val>
            <c:numRef>
              <c:f>Tables!$D$20:$D$38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1.1555555555555555E-2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4.0000000000000001E-3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0E-40DB-B97D-2AA94E2A2DA6}"/>
            </c:ext>
          </c:extLst>
        </c:ser>
        <c:ser>
          <c:idx val="3"/>
          <c:order val="3"/>
          <c:tx>
            <c:strRef>
              <c:f>Tables!$E$18:$E$19</c:f>
              <c:strCache>
                <c:ptCount val="1"/>
                <c:pt idx="0">
                  <c:v>gray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Tables!$A$20:$A$38</c:f>
              <c:strCache>
                <c:ptCount val="18"/>
                <c:pt idx="0">
                  <c:v>5 Series</c:v>
                </c:pt>
                <c:pt idx="1">
                  <c:v>Altima</c:v>
                </c:pt>
                <c:pt idx="2">
                  <c:v>C/K 2500 Series</c:v>
                </c:pt>
                <c:pt idx="3">
                  <c:v>C-Class</c:v>
                </c:pt>
                <c:pt idx="4">
                  <c:v>CR-V</c:v>
                </c:pt>
                <c:pt idx="5">
                  <c:v>Durango</c:v>
                </c:pt>
                <c:pt idx="6">
                  <c:v>Equinox</c:v>
                </c:pt>
                <c:pt idx="7">
                  <c:v>Freestar</c:v>
                </c:pt>
                <c:pt idx="8">
                  <c:v>G Sedan</c:v>
                </c:pt>
                <c:pt idx="9">
                  <c:v>G35</c:v>
                </c:pt>
                <c:pt idx="10">
                  <c:v>Grand Cherokee</c:v>
                </c:pt>
                <c:pt idx="11">
                  <c:v>IS 250</c:v>
                </c:pt>
                <c:pt idx="12">
                  <c:v>MDX</c:v>
                </c:pt>
                <c:pt idx="13">
                  <c:v>Sebring</c:v>
                </c:pt>
                <c:pt idx="14">
                  <c:v>Sierra 1500</c:v>
                </c:pt>
                <c:pt idx="15">
                  <c:v>Sonata</c:v>
                </c:pt>
                <c:pt idx="16">
                  <c:v>Taurus</c:v>
                </c:pt>
                <c:pt idx="17">
                  <c:v>TSX</c:v>
                </c:pt>
              </c:strCache>
            </c:strRef>
          </c:cat>
          <c:val>
            <c:numRef>
              <c:f>Tables!$E$20:$E$38</c:f>
              <c:numCache>
                <c:formatCode>0.00%</c:formatCode>
                <c:ptCount val="18"/>
                <c:pt idx="0">
                  <c:v>0</c:v>
                </c:pt>
                <c:pt idx="1">
                  <c:v>4.3999999999999997E-2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7.6888888888888896E-2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0E-40DB-B97D-2AA94E2A2DA6}"/>
            </c:ext>
          </c:extLst>
        </c:ser>
        <c:ser>
          <c:idx val="4"/>
          <c:order val="4"/>
          <c:tx>
            <c:strRef>
              <c:f>Tables!$F$18:$F$19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Tables!$A$20:$A$38</c:f>
              <c:strCache>
                <c:ptCount val="18"/>
                <c:pt idx="0">
                  <c:v>5 Series</c:v>
                </c:pt>
                <c:pt idx="1">
                  <c:v>Altima</c:v>
                </c:pt>
                <c:pt idx="2">
                  <c:v>C/K 2500 Series</c:v>
                </c:pt>
                <c:pt idx="3">
                  <c:v>C-Class</c:v>
                </c:pt>
                <c:pt idx="4">
                  <c:v>CR-V</c:v>
                </c:pt>
                <c:pt idx="5">
                  <c:v>Durango</c:v>
                </c:pt>
                <c:pt idx="6">
                  <c:v>Equinox</c:v>
                </c:pt>
                <c:pt idx="7">
                  <c:v>Freestar</c:v>
                </c:pt>
                <c:pt idx="8">
                  <c:v>G Sedan</c:v>
                </c:pt>
                <c:pt idx="9">
                  <c:v>G35</c:v>
                </c:pt>
                <c:pt idx="10">
                  <c:v>Grand Cherokee</c:v>
                </c:pt>
                <c:pt idx="11">
                  <c:v>IS 250</c:v>
                </c:pt>
                <c:pt idx="12">
                  <c:v>MDX</c:v>
                </c:pt>
                <c:pt idx="13">
                  <c:v>Sebring</c:v>
                </c:pt>
                <c:pt idx="14">
                  <c:v>Sierra 1500</c:v>
                </c:pt>
                <c:pt idx="15">
                  <c:v>Sonata</c:v>
                </c:pt>
                <c:pt idx="16">
                  <c:v>Taurus</c:v>
                </c:pt>
                <c:pt idx="17">
                  <c:v>TSX</c:v>
                </c:pt>
              </c:strCache>
            </c:strRef>
          </c:cat>
          <c:val>
            <c:numRef>
              <c:f>Tables!$F$20:$F$38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7.5999999999999998E-2</c:v>
                </c:pt>
                <c:pt idx="5">
                  <c:v>0</c:v>
                </c:pt>
                <c:pt idx="6">
                  <c:v>7.7333333333333337E-2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5.8666666666666666E-2</c:v>
                </c:pt>
                <c:pt idx="11">
                  <c:v>0</c:v>
                </c:pt>
                <c:pt idx="12">
                  <c:v>5.1111111111111114E-2</c:v>
                </c:pt>
                <c:pt idx="13">
                  <c:v>0</c:v>
                </c:pt>
                <c:pt idx="14">
                  <c:v>5.7777777777777775E-2</c:v>
                </c:pt>
                <c:pt idx="15">
                  <c:v>0</c:v>
                </c:pt>
                <c:pt idx="16">
                  <c:v>0.1111111111111111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0E-40DB-B97D-2AA94E2A2DA6}"/>
            </c:ext>
          </c:extLst>
        </c:ser>
        <c:ser>
          <c:idx val="5"/>
          <c:order val="5"/>
          <c:tx>
            <c:strRef>
              <c:f>Tables!$G$18:$G$19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Tables!$A$20:$A$38</c:f>
              <c:strCache>
                <c:ptCount val="18"/>
                <c:pt idx="0">
                  <c:v>5 Series</c:v>
                </c:pt>
                <c:pt idx="1">
                  <c:v>Altima</c:v>
                </c:pt>
                <c:pt idx="2">
                  <c:v>C/K 2500 Series</c:v>
                </c:pt>
                <c:pt idx="3">
                  <c:v>C-Class</c:v>
                </c:pt>
                <c:pt idx="4">
                  <c:v>CR-V</c:v>
                </c:pt>
                <c:pt idx="5">
                  <c:v>Durango</c:v>
                </c:pt>
                <c:pt idx="6">
                  <c:v>Equinox</c:v>
                </c:pt>
                <c:pt idx="7">
                  <c:v>Freestar</c:v>
                </c:pt>
                <c:pt idx="8">
                  <c:v>G Sedan</c:v>
                </c:pt>
                <c:pt idx="9">
                  <c:v>G35</c:v>
                </c:pt>
                <c:pt idx="10">
                  <c:v>Grand Cherokee</c:v>
                </c:pt>
                <c:pt idx="11">
                  <c:v>IS 250</c:v>
                </c:pt>
                <c:pt idx="12">
                  <c:v>MDX</c:v>
                </c:pt>
                <c:pt idx="13">
                  <c:v>Sebring</c:v>
                </c:pt>
                <c:pt idx="14">
                  <c:v>Sierra 1500</c:v>
                </c:pt>
                <c:pt idx="15">
                  <c:v>Sonata</c:v>
                </c:pt>
                <c:pt idx="16">
                  <c:v>Taurus</c:v>
                </c:pt>
                <c:pt idx="17">
                  <c:v>TSX</c:v>
                </c:pt>
              </c:strCache>
            </c:strRef>
          </c:cat>
          <c:val>
            <c:numRef>
              <c:f>Tables!$G$20:$G$38</c:f>
              <c:numCache>
                <c:formatCode>0.00%</c:formatCode>
                <c:ptCount val="18"/>
                <c:pt idx="0">
                  <c:v>0.13244444444444445</c:v>
                </c:pt>
                <c:pt idx="1">
                  <c:v>0</c:v>
                </c:pt>
                <c:pt idx="2">
                  <c:v>8.0000000000000002E-3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5.7777777777777775E-2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0E-40DB-B97D-2AA94E2A2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4798432"/>
        <c:axId val="1594796032"/>
        <c:axId val="0"/>
      </c:bar3DChart>
      <c:catAx>
        <c:axId val="159479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96032"/>
        <c:crosses val="autoZero"/>
        <c:auto val="1"/>
        <c:lblAlgn val="ctr"/>
        <c:lblOffset val="100"/>
        <c:noMultiLvlLbl val="0"/>
      </c:catAx>
      <c:valAx>
        <c:axId val="15947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9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 &amp; Graphs.xlsx]Tables!PivotTable7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</a:t>
            </a:r>
            <a:r>
              <a:rPr lang="en-ZA" baseline="0"/>
              <a:t> by Condition and Make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656335511252588E-2"/>
          <c:y val="0.14199436652130934"/>
          <c:w val="0.74325459317585307"/>
          <c:h val="0.77555172397598193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Tables!$E$40:$E$41</c:f>
              <c:strCache>
                <c:ptCount val="1"/>
                <c:pt idx="0">
                  <c:v>Chrysler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Tables!$E$42:$E$61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2.5552187093980078E-2</c:v>
                </c:pt>
                <c:pt idx="8">
                  <c:v>2.3819835426591596E-2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19-4DE3-9DC0-3A3C0EEC661A}"/>
            </c:ext>
          </c:extLst>
        </c:ser>
        <c:ser>
          <c:idx val="4"/>
          <c:order val="4"/>
          <c:tx>
            <c:strRef>
              <c:f>Tables!$F$40:$F$41</c:f>
              <c:strCache>
                <c:ptCount val="1"/>
                <c:pt idx="0">
                  <c:v>Dodge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Tables!$F$42:$F$61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2.6418362927674317E-2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19-4DE3-9DC0-3A3C0EEC661A}"/>
            </c:ext>
          </c:extLst>
        </c:ser>
        <c:ser>
          <c:idx val="5"/>
          <c:order val="5"/>
          <c:tx>
            <c:strRef>
              <c:f>Tables!$G$40:$G$41</c:f>
              <c:strCache>
                <c:ptCount val="1"/>
                <c:pt idx="0">
                  <c:v>Ford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Tables!$G$42:$G$61</c:f>
              <c:numCache>
                <c:formatCode>0.00%</c:formatCode>
                <c:ptCount val="19"/>
                <c:pt idx="0">
                  <c:v>0</c:v>
                </c:pt>
                <c:pt idx="1">
                  <c:v>3.8977912516240795E-3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6.4963187527067997E-3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0.10827197921177999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19-4DE3-9DC0-3A3C0EEC661A}"/>
            </c:ext>
          </c:extLst>
        </c:ser>
        <c:ser>
          <c:idx val="6"/>
          <c:order val="6"/>
          <c:tx>
            <c:strRef>
              <c:f>Tables!$H$40:$H$41</c:f>
              <c:strCache>
                <c:ptCount val="1"/>
                <c:pt idx="0">
                  <c:v>GMC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Tables!$H$42:$H$61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5.6301429190125596E-2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19-4DE3-9DC0-3A3C0EEC661A}"/>
            </c:ext>
          </c:extLst>
        </c:ser>
        <c:ser>
          <c:idx val="0"/>
          <c:order val="0"/>
          <c:tx>
            <c:strRef>
              <c:f>Tables!$B$40:$B$41</c:f>
              <c:strCache>
                <c:ptCount val="1"/>
                <c:pt idx="0">
                  <c:v>Acura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Tables!$B$42:$B$61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4.9805110437418795E-2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7.1459506279774793E-2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9-4DE3-9DC0-3A3C0EEC661A}"/>
            </c:ext>
          </c:extLst>
        </c:ser>
        <c:ser>
          <c:idx val="1"/>
          <c:order val="1"/>
          <c:tx>
            <c:strRef>
              <c:f>Tables!$C$40:$C$41</c:f>
              <c:strCache>
                <c:ptCount val="1"/>
                <c:pt idx="0">
                  <c:v>BMW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Tables!$C$42:$C$61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0.12906019922044176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9-4DE3-9DC0-3A3C0EEC661A}"/>
            </c:ext>
          </c:extLst>
        </c:ser>
        <c:ser>
          <c:idx val="2"/>
          <c:order val="2"/>
          <c:tx>
            <c:strRef>
              <c:f>Tables!$D$40:$D$41</c:f>
              <c:strCache>
                <c:ptCount val="1"/>
                <c:pt idx="0">
                  <c:v>Chevrolet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Tables!$D$42:$D$61</c:f>
              <c:numCache>
                <c:formatCode>0.00%</c:formatCode>
                <c:ptCount val="19"/>
                <c:pt idx="0">
                  <c:v>7.795582503248159E-3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7.5357297531398873E-2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19-4DE3-9DC0-3A3C0EEC661A}"/>
            </c:ext>
          </c:extLst>
        </c:ser>
        <c:ser>
          <c:idx val="7"/>
          <c:order val="7"/>
          <c:tx>
            <c:strRef>
              <c:f>Tables!$I$40:$I$41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Tables!$I$42:$I$61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7.4058033780857513E-2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19-4DE3-9DC0-3A3C0EEC661A}"/>
            </c:ext>
          </c:extLst>
        </c:ser>
        <c:ser>
          <c:idx val="8"/>
          <c:order val="8"/>
          <c:tx>
            <c:strRef>
              <c:f>Tables!$J$40:$J$41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Tables!$J$42:$J$61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4.9372022520571678E-2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19-4DE3-9DC0-3A3C0EEC661A}"/>
            </c:ext>
          </c:extLst>
        </c:ser>
        <c:ser>
          <c:idx val="9"/>
          <c:order val="9"/>
          <c:tx>
            <c:strRef>
              <c:f>Tables!$K$40:$K$41</c:f>
              <c:strCache>
                <c:ptCount val="1"/>
                <c:pt idx="0">
                  <c:v>Infiniti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Tables!$K$42:$K$61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4.9805110437418795E-2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7.4924209614551748E-2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19-4DE3-9DC0-3A3C0EEC661A}"/>
            </c:ext>
          </c:extLst>
        </c:ser>
        <c:ser>
          <c:idx val="10"/>
          <c:order val="10"/>
          <c:tx>
            <c:strRef>
              <c:f>Tables!$L$40:$L$41</c:f>
              <c:strCache>
                <c:ptCount val="1"/>
                <c:pt idx="0">
                  <c:v>Jeep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Tables!$L$42:$L$61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5.7167605023819838E-2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19-4DE3-9DC0-3A3C0EEC661A}"/>
            </c:ext>
          </c:extLst>
        </c:ser>
        <c:ser>
          <c:idx val="11"/>
          <c:order val="11"/>
          <c:tx>
            <c:strRef>
              <c:f>Tables!$M$40:$M$41</c:f>
              <c:strCache>
                <c:ptCount val="1"/>
                <c:pt idx="0">
                  <c:v>Lexus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Tables!$M$42:$M$61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5.6301429190125596E-2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719-4DE3-9DC0-3A3C0EEC661A}"/>
            </c:ext>
          </c:extLst>
        </c:ser>
        <c:ser>
          <c:idx val="12"/>
          <c:order val="12"/>
          <c:tx>
            <c:strRef>
              <c:f>Tables!$N$40:$N$41</c:f>
              <c:strCache>
                <c:ptCount val="1"/>
                <c:pt idx="0">
                  <c:v>Mercedes-Benz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Tables!$N$42:$N$61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1.126028583802512E-2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19-4DE3-9DC0-3A3C0EEC661A}"/>
            </c:ext>
          </c:extLst>
        </c:ser>
        <c:ser>
          <c:idx val="13"/>
          <c:order val="13"/>
          <c:tx>
            <c:strRef>
              <c:f>Tables!$O$40:$O$41</c:f>
              <c:strCache>
                <c:ptCount val="1"/>
                <c:pt idx="0">
                  <c:v>Nissan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Tables!$A$42:$A$61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41</c:v>
                </c:pt>
                <c:pt idx="16">
                  <c:v>43</c:v>
                </c:pt>
                <c:pt idx="17">
                  <c:v>45</c:v>
                </c:pt>
                <c:pt idx="18">
                  <c:v>47</c:v>
                </c:pt>
              </c:strCache>
            </c:strRef>
          </c:cat>
          <c:val>
            <c:numRef>
              <c:f>Tables!$O$42:$O$61</c:f>
              <c:numCache>
                <c:formatCode>0.00%</c:formatCode>
                <c:ptCount val="19"/>
                <c:pt idx="0">
                  <c:v>0</c:v>
                </c:pt>
                <c:pt idx="1">
                  <c:v>4.2875703767864877E-2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719-4DE3-9DC0-3A3C0EEC6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4775392"/>
        <c:axId val="1594780192"/>
      </c:barChart>
      <c:catAx>
        <c:axId val="159477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80192"/>
        <c:crosses val="autoZero"/>
        <c:auto val="1"/>
        <c:lblAlgn val="ctr"/>
        <c:lblOffset val="100"/>
        <c:noMultiLvlLbl val="0"/>
      </c:catAx>
      <c:valAx>
        <c:axId val="159478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7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 &amp; Graphs.xlsx]Tables!PivotTable8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SalesDate and Transmission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Tables!$B$63:$B$64</c:f>
              <c:strCache>
                <c:ptCount val="1"/>
                <c:pt idx="0">
                  <c:v>automatic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F7-477A-9C8C-B2CBA325064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F7-477A-9C8C-B2CBA325064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F7-477A-9C8C-B2CBA325064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F7-477A-9C8C-B2CBA325064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F7-477A-9C8C-B2CBA325064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7F7-477A-9C8C-B2CBA325064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7F7-477A-9C8C-B2CBA32506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Tables!$A$65:$A$72</c:f>
              <c:strCache>
                <c:ptCount val="7"/>
                <c:pt idx="0">
                  <c:v>2015/01/14</c:v>
                </c:pt>
                <c:pt idx="1">
                  <c:v>2015/01/15</c:v>
                </c:pt>
                <c:pt idx="2">
                  <c:v>2015/01/16</c:v>
                </c:pt>
                <c:pt idx="3">
                  <c:v>2015/01/20</c:v>
                </c:pt>
                <c:pt idx="4">
                  <c:v>2015/01/21</c:v>
                </c:pt>
                <c:pt idx="5">
                  <c:v>2015/01/22</c:v>
                </c:pt>
                <c:pt idx="6">
                  <c:v>2015/02/19</c:v>
                </c:pt>
              </c:strCache>
            </c:strRef>
          </c:cat>
          <c:val>
            <c:numRef>
              <c:f>Tables!$B$65:$B$72</c:f>
              <c:numCache>
                <c:formatCode>0.00%</c:formatCode>
                <c:ptCount val="7"/>
                <c:pt idx="0">
                  <c:v>2.9382470119521914E-2</c:v>
                </c:pt>
                <c:pt idx="1">
                  <c:v>0.15288844621513945</c:v>
                </c:pt>
                <c:pt idx="2">
                  <c:v>0.17828685258964144</c:v>
                </c:pt>
                <c:pt idx="3">
                  <c:v>9.1633466135458169E-2</c:v>
                </c:pt>
                <c:pt idx="4">
                  <c:v>0.17380478087649404</c:v>
                </c:pt>
                <c:pt idx="5">
                  <c:v>0.30776892430278885</c:v>
                </c:pt>
                <c:pt idx="6">
                  <c:v>8.9641434262948214E-3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1-4912-89B9-5F50A6FAE64F}"/>
            </c:ext>
          </c:extLst>
        </c:ser>
        <c:ser>
          <c:idx val="1"/>
          <c:order val="1"/>
          <c:tx>
            <c:strRef>
              <c:f>Tables!$C$63:$C$64</c:f>
              <c:strCache>
                <c:ptCount val="1"/>
                <c:pt idx="0">
                  <c:v>manual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7F7-477A-9C8C-B2CBA325064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7F7-477A-9C8C-B2CBA325064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7F7-477A-9C8C-B2CBA325064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C7F7-477A-9C8C-B2CBA325064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C7F7-477A-9C8C-B2CBA325064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C7F7-477A-9C8C-B2CBA325064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C7F7-477A-9C8C-B2CBA32506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Tables!$A$65:$A$72</c:f>
              <c:strCache>
                <c:ptCount val="7"/>
                <c:pt idx="0">
                  <c:v>2015/01/14</c:v>
                </c:pt>
                <c:pt idx="1">
                  <c:v>2015/01/15</c:v>
                </c:pt>
                <c:pt idx="2">
                  <c:v>2015/01/16</c:v>
                </c:pt>
                <c:pt idx="3">
                  <c:v>2015/01/20</c:v>
                </c:pt>
                <c:pt idx="4">
                  <c:v>2015/01/21</c:v>
                </c:pt>
                <c:pt idx="5">
                  <c:v>2015/01/22</c:v>
                </c:pt>
                <c:pt idx="6">
                  <c:v>2015/02/19</c:v>
                </c:pt>
              </c:strCache>
            </c:strRef>
          </c:cat>
          <c:val>
            <c:numRef>
              <c:f>Tables!$C$65:$C$72</c:f>
              <c:numCache>
                <c:formatCode>0.00%</c:formatCode>
                <c:ptCount val="7"/>
                <c:pt idx="0">
                  <c:v>5.7270916334661352E-2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1-4912-89B9-5F50A6FA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332848"/>
        <c:axId val="720342928"/>
      </c:lineChart>
      <c:catAx>
        <c:axId val="72033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42928"/>
        <c:auto val="1"/>
        <c:lblAlgn val="ctr"/>
        <c:lblOffset val="100"/>
        <c:noMultiLvlLbl val="0"/>
      </c:catAx>
      <c:valAx>
        <c:axId val="7203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3284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 &amp; Graphs.xlsx]Tables!PivotTable9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Revenue by Year and Trim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4925" cap="rnd">
            <a:solidFill>
              <a:schemeClr val="accent5">
                <a:lumMod val="6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>
            <c:manualLayout>
              <c:x val="-7.0505287896592246E-3"/>
              <c:y val="-0.101851851851851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accent4">
                <a:lumMod val="6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>
            <c:manualLayout>
              <c:x val="1.6451326369162682E-2"/>
              <c:y val="-4.62961140274132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6251468860164506E-2"/>
                  <c:h val="6.4745552639253412E-2"/>
                </c:manualLayout>
              </c15:layout>
            </c:ext>
          </c:extLst>
        </c:dLbl>
      </c:pivotFmt>
      <c:pivotFmt>
        <c:idx val="30"/>
        <c:spPr>
          <a:ln w="34925" cap="rnd">
            <a:solidFill>
              <a:schemeClr val="accent1">
                <a:lumMod val="6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>
            <c:manualLayout>
              <c:x val="-7.0505287896592246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438622463613912E-2"/>
          <c:y val="0.2061807378244386"/>
          <c:w val="0.72289219722975284"/>
          <c:h val="0.70993839311752693"/>
        </c:manualLayout>
      </c:layout>
      <c:lineChart>
        <c:grouping val="stacked"/>
        <c:varyColors val="0"/>
        <c:ser>
          <c:idx val="0"/>
          <c:order val="0"/>
          <c:tx>
            <c:strRef>
              <c:f>Tables!$B$80:$B$81</c:f>
              <c:strCache>
                <c:ptCount val="1"/>
                <c:pt idx="0">
                  <c:v>2.5 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Tables!$B$82:$B$93</c:f>
              <c:numCache>
                <c:formatCode>General</c:formatCode>
                <c:ptCount val="11"/>
                <c:pt idx="8">
                  <c:v>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7-4F17-9382-5FFACDA8E079}"/>
            </c:ext>
          </c:extLst>
        </c:ser>
        <c:ser>
          <c:idx val="1"/>
          <c:order val="1"/>
          <c:tx>
            <c:strRef>
              <c:f>Tables!$C$80:$C$81</c:f>
              <c:strCache>
                <c:ptCount val="1"/>
                <c:pt idx="0">
                  <c:v>528i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Tables!$C$82:$C$93</c:f>
              <c:numCache>
                <c:formatCode>General</c:formatCode>
                <c:ptCount val="11"/>
                <c:pt idx="9">
                  <c:v>29800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B7-4F17-9382-5FFACDA8E079}"/>
            </c:ext>
          </c:extLst>
        </c:ser>
        <c:ser>
          <c:idx val="2"/>
          <c:order val="2"/>
          <c:tx>
            <c:strRef>
              <c:f>Tables!$D$80:$D$81</c:f>
              <c:strCache>
                <c:ptCount val="1"/>
                <c:pt idx="0">
                  <c:v>Base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Tables!$D$82:$D$93</c:f>
              <c:numCache>
                <c:formatCode>General</c:formatCode>
                <c:ptCount val="11"/>
                <c:pt idx="3">
                  <c:v>11500</c:v>
                </c:pt>
                <c:pt idx="5">
                  <c:v>11500</c:v>
                </c:pt>
                <c:pt idx="6">
                  <c:v>13000</c:v>
                </c:pt>
                <c:pt idx="8">
                  <c:v>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B7-4F17-9382-5FFACDA8E079}"/>
            </c:ext>
          </c:extLst>
        </c:ser>
        <c:ser>
          <c:idx val="3"/>
          <c:order val="3"/>
          <c:tx>
            <c:strRef>
              <c:f>Tables!$E$80:$E$81</c:f>
              <c:strCache>
                <c:ptCount val="1"/>
                <c:pt idx="0">
                  <c:v>C320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Tables!$E$82:$E$93</c:f>
              <c:numCache>
                <c:formatCode>General</c:formatCode>
                <c:ptCount val="11"/>
                <c:pt idx="1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1B7-4F17-9382-5FFACDA8E079}"/>
            </c:ext>
          </c:extLst>
        </c:ser>
        <c:ser>
          <c:idx val="4"/>
          <c:order val="4"/>
          <c:tx>
            <c:strRef>
              <c:f>Tables!$F$80:$F$81</c:f>
              <c:strCache>
                <c:ptCount val="1"/>
                <c:pt idx="0">
                  <c:v>EX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Tables!$F$82:$F$93</c:f>
              <c:numCache>
                <c:formatCode>General</c:formatCode>
                <c:ptCount val="11"/>
                <c:pt idx="8">
                  <c:v>17100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1B7-4F17-9382-5FFACDA8E079}"/>
            </c:ext>
          </c:extLst>
        </c:ser>
        <c:ser>
          <c:idx val="5"/>
          <c:order val="5"/>
          <c:tx>
            <c:strRef>
              <c:f>Tables!$G$80:$G$81</c:f>
              <c:strCache>
                <c:ptCount val="1"/>
                <c:pt idx="0">
                  <c:v>G25x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Tables!$G$82:$G$93</c:f>
              <c:numCache>
                <c:formatCode>General</c:formatCode>
                <c:ptCount val="11"/>
                <c:pt idx="8">
                  <c:v>17300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1B7-4F17-9382-5FFACDA8E079}"/>
            </c:ext>
          </c:extLst>
        </c:ser>
        <c:ser>
          <c:idx val="6"/>
          <c:order val="6"/>
          <c:tx>
            <c:strRef>
              <c:f>Tables!$H$80:$H$81</c:f>
              <c:strCache>
                <c:ptCount val="1"/>
                <c:pt idx="0">
                  <c:v>GLS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8"/>
              <c:layout>
                <c:manualLayout>
                  <c:x val="-7.0505287896592246E-3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B4-431B-81B2-4082339F55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Tables!$H$82:$H$93</c:f>
              <c:numCache>
                <c:formatCode>General</c:formatCode>
                <c:ptCount val="11"/>
                <c:pt idx="8">
                  <c:v>11400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B7-4F17-9382-5FFACDA8E079}"/>
            </c:ext>
          </c:extLst>
        </c:ser>
        <c:ser>
          <c:idx val="7"/>
          <c:order val="7"/>
          <c:tx>
            <c:strRef>
              <c:f>Tables!$I$80:$I$81</c:f>
              <c:strCache>
                <c:ptCount val="1"/>
                <c:pt idx="0">
                  <c:v>Limited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Tables!$I$82:$I$93</c:f>
              <c:numCache>
                <c:formatCode>General</c:formatCode>
                <c:ptCount val="11"/>
                <c:pt idx="3">
                  <c:v>5900</c:v>
                </c:pt>
                <c:pt idx="4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1B7-4F17-9382-5FFACDA8E079}"/>
            </c:ext>
          </c:extLst>
        </c:ser>
        <c:ser>
          <c:idx val="8"/>
          <c:order val="8"/>
          <c:tx>
            <c:strRef>
              <c:f>Tables!$J$80:$J$81</c:f>
              <c:strCache>
                <c:ptCount val="1"/>
                <c:pt idx="0">
                  <c:v>LT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Tables!$J$82:$J$93</c:f>
              <c:numCache>
                <c:formatCode>General</c:formatCode>
                <c:ptCount val="11"/>
                <c:pt idx="10">
                  <c:v>17400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1B7-4F17-9382-5FFACDA8E079}"/>
            </c:ext>
          </c:extLst>
        </c:ser>
        <c:ser>
          <c:idx val="9"/>
          <c:order val="9"/>
          <c:tx>
            <c:strRef>
              <c:f>Tables!$K$80:$K$81</c:f>
              <c:strCache>
                <c:ptCount val="1"/>
                <c:pt idx="0">
                  <c:v>SE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1.6451326369162682E-2"/>
                  <c:y val="-4.6296114027413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6251468860164506E-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5B9-4C9E-9639-0A4F05C914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Tables!$K$82:$K$93</c:f>
              <c:numCache>
                <c:formatCode>General</c:formatCode>
                <c:ptCount val="11"/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1B7-4F17-9382-5FFACDA8E079}"/>
            </c:ext>
          </c:extLst>
        </c:ser>
        <c:ser>
          <c:idx val="10"/>
          <c:order val="10"/>
          <c:tx>
            <c:strRef>
              <c:f>Tables!$L$80:$L$81</c:f>
              <c:strCache>
                <c:ptCount val="1"/>
                <c:pt idx="0">
                  <c:v>SEL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7.0505287896592246E-3"/>
                  <c:y val="-0.101851851851851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B9-4C9E-9639-0A4F05C914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Tables!$L$82:$L$93</c:f>
              <c:numCache>
                <c:formatCode>General</c:formatCode>
                <c:ptCount val="11"/>
                <c:pt idx="2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1B7-4F17-9382-5FFACDA8E079}"/>
            </c:ext>
          </c:extLst>
        </c:ser>
        <c:ser>
          <c:idx val="11"/>
          <c:order val="11"/>
          <c:tx>
            <c:strRef>
              <c:f>Tables!$M$80:$M$81</c:f>
              <c:strCache>
                <c:ptCount val="1"/>
                <c:pt idx="0">
                  <c:v>SHO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Tables!$M$82:$M$93</c:f>
              <c:numCache>
                <c:formatCode>General</c:formatCode>
                <c:ptCount val="11"/>
                <c:pt idx="9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1B7-4F17-9382-5FFACDA8E079}"/>
            </c:ext>
          </c:extLst>
        </c:ser>
        <c:ser>
          <c:idx val="12"/>
          <c:order val="12"/>
          <c:tx>
            <c:strRef>
              <c:f>Tables!$N$80:$N$81</c:f>
              <c:strCache>
                <c:ptCount val="1"/>
                <c:pt idx="0">
                  <c:v>Silverado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Tables!$N$82:$N$93</c:f>
              <c:numCache>
                <c:formatCode>General</c:formatCode>
                <c:ptCount val="11"/>
                <c:pt idx="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1B7-4F17-9382-5FFACDA8E079}"/>
            </c:ext>
          </c:extLst>
        </c:ser>
        <c:ser>
          <c:idx val="13"/>
          <c:order val="13"/>
          <c:tx>
            <c:strRef>
              <c:f>Tables!$O$80:$O$81</c:f>
              <c:strCache>
                <c:ptCount val="1"/>
                <c:pt idx="0">
                  <c:v>SLE1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Tables!$O$82:$O$93</c:f>
              <c:numCache>
                <c:formatCode>General</c:formatCode>
                <c:ptCount val="11"/>
                <c:pt idx="6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1B7-4F17-9382-5FFACDA8E079}"/>
            </c:ext>
          </c:extLst>
        </c:ser>
        <c:ser>
          <c:idx val="14"/>
          <c:order val="14"/>
          <c:tx>
            <c:strRef>
              <c:f>Tables!$P$80:$P$81</c:f>
              <c:strCache>
                <c:ptCount val="1"/>
                <c:pt idx="0">
                  <c:v>SXT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Tables!$P$82:$P$93</c:f>
              <c:numCache>
                <c:formatCode>General</c:formatCode>
                <c:ptCount val="11"/>
                <c:pt idx="3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1B7-4F17-9382-5FFACDA8E079}"/>
            </c:ext>
          </c:extLst>
        </c:ser>
        <c:ser>
          <c:idx val="15"/>
          <c:order val="15"/>
          <c:tx>
            <c:strRef>
              <c:f>Tables!$Q$80:$Q$81</c:f>
              <c:strCache>
                <c:ptCount val="1"/>
                <c:pt idx="0">
                  <c:v>Touring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Tables!$A$82:$A$93</c:f>
              <c:strCache>
                <c:ptCount val="11"/>
                <c:pt idx="0">
                  <c:v>1995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2010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strCache>
            </c:strRef>
          </c:cat>
          <c:val>
            <c:numRef>
              <c:f>Tables!$Q$82:$Q$93</c:f>
              <c:numCache>
                <c:formatCode>General</c:formatCode>
                <c:ptCount val="11"/>
                <c:pt idx="7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1B7-4F17-9382-5FFACDA8E0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4293808"/>
        <c:axId val="1864291888"/>
      </c:lineChart>
      <c:catAx>
        <c:axId val="186429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291888"/>
        <c:crosses val="autoZero"/>
        <c:auto val="1"/>
        <c:lblAlgn val="ctr"/>
        <c:lblOffset val="100"/>
        <c:noMultiLvlLbl val="0"/>
      </c:catAx>
      <c:valAx>
        <c:axId val="18642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29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Analysis file - Pivot &amp; Graphs.xlsx]Tables!PivotTable10</c:name>
    <c:fmtId val="5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</a:t>
            </a:r>
            <a:r>
              <a:rPr lang="en-ZA" baseline="0"/>
              <a:t> by State and Transmission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Tables!$B$98:$B$99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Tables!$A$100:$A$111</c:f>
              <c:strCache>
                <c:ptCount val="11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ga</c:v>
                </c:pt>
                <c:pt idx="4">
                  <c:v>il</c:v>
                </c:pt>
                <c:pt idx="5">
                  <c:v>mo</c:v>
                </c:pt>
                <c:pt idx="6">
                  <c:v>nc</c:v>
                </c:pt>
                <c:pt idx="7">
                  <c:v>nj</c:v>
                </c:pt>
                <c:pt idx="8">
                  <c:v>nv</c:v>
                </c:pt>
                <c:pt idx="9">
                  <c:v>pa</c:v>
                </c:pt>
                <c:pt idx="10">
                  <c:v>tx</c:v>
                </c:pt>
              </c:strCache>
            </c:strRef>
          </c:cat>
          <c:val>
            <c:numRef>
              <c:f>Tables!$B$100:$B$111</c:f>
              <c:numCache>
                <c:formatCode>0.00%</c:formatCode>
                <c:ptCount val="11"/>
                <c:pt idx="0">
                  <c:v>8.6653386454183273E-2</c:v>
                </c:pt>
                <c:pt idx="1">
                  <c:v>2.1912350597609563E-2</c:v>
                </c:pt>
                <c:pt idx="2">
                  <c:v>0.21314741035856574</c:v>
                </c:pt>
                <c:pt idx="3">
                  <c:v>5.7270916334661352E-2</c:v>
                </c:pt>
                <c:pt idx="4">
                  <c:v>0.11354581673306773</c:v>
                </c:pt>
                <c:pt idx="5">
                  <c:v>0.12450199203187251</c:v>
                </c:pt>
                <c:pt idx="6">
                  <c:v>3.6852589641434265E-2</c:v>
                </c:pt>
                <c:pt idx="7">
                  <c:v>4.9302788844621512E-2</c:v>
                </c:pt>
                <c:pt idx="8">
                  <c:v>0.15239043824701196</c:v>
                </c:pt>
                <c:pt idx="9">
                  <c:v>3.0378486055776893E-2</c:v>
                </c:pt>
                <c:pt idx="10">
                  <c:v>5.6772908366533863E-2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E-434B-BF1C-4021295FAF70}"/>
            </c:ext>
          </c:extLst>
        </c:ser>
        <c:ser>
          <c:idx val="1"/>
          <c:order val="1"/>
          <c:tx>
            <c:strRef>
              <c:f>Tables!$C$98:$C$99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Tables!$A$100:$A$111</c:f>
              <c:strCache>
                <c:ptCount val="11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ga</c:v>
                </c:pt>
                <c:pt idx="4">
                  <c:v>il</c:v>
                </c:pt>
                <c:pt idx="5">
                  <c:v>mo</c:v>
                </c:pt>
                <c:pt idx="6">
                  <c:v>nc</c:v>
                </c:pt>
                <c:pt idx="7">
                  <c:v>nj</c:v>
                </c:pt>
                <c:pt idx="8">
                  <c:v>nv</c:v>
                </c:pt>
                <c:pt idx="9">
                  <c:v>pa</c:v>
                </c:pt>
                <c:pt idx="10">
                  <c:v>tx</c:v>
                </c:pt>
              </c:strCache>
            </c:strRef>
          </c:cat>
          <c:val>
            <c:numRef>
              <c:f>Tables!$C$100:$C$111</c:f>
              <c:numCache>
                <c:formatCode>0.00%</c:formatCode>
                <c:ptCount val="11"/>
                <c:pt idx="0">
                  <c:v>0</c:v>
                </c:pt>
                <c:pt idx="1">
                  <c:v>5.7270916334661352E-2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E-434B-BF1C-4021295FAF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4322128"/>
        <c:axId val="1864344208"/>
      </c:barChart>
      <c:catAx>
        <c:axId val="186432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44208"/>
        <c:crosses val="autoZero"/>
        <c:auto val="1"/>
        <c:lblAlgn val="ctr"/>
        <c:lblOffset val="100"/>
        <c:noMultiLvlLbl val="0"/>
      </c:catAx>
      <c:valAx>
        <c:axId val="186434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2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60325</xdr:rowOff>
    </xdr:from>
    <xdr:to>
      <xdr:col>10</xdr:col>
      <xdr:colOff>495300</xdr:colOff>
      <xdr:row>16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D52E40-38E1-4F21-BBD1-3950B3145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203200</xdr:colOff>
      <xdr:row>19</xdr:row>
      <xdr:rowOff>22224</xdr:rowOff>
    </xdr:from>
    <xdr:to>
      <xdr:col>13</xdr:col>
      <xdr:colOff>31750</xdr:colOff>
      <xdr:row>37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F79F2-8723-2209-EC5E-1260517D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939800</xdr:colOff>
      <xdr:row>32</xdr:row>
      <xdr:rowOff>117474</xdr:rowOff>
    </xdr:from>
    <xdr:to>
      <xdr:col>18</xdr:col>
      <xdr:colOff>596900</xdr:colOff>
      <xdr:row>51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9F1C92-D008-C666-A70C-81DA450A1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266700</xdr:colOff>
      <xdr:row>55</xdr:row>
      <xdr:rowOff>180975</xdr:rowOff>
    </xdr:from>
    <xdr:to>
      <xdr:col>12</xdr:col>
      <xdr:colOff>279400</xdr:colOff>
      <xdr:row>70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132722-BC71-EF13-58DC-1FCF613DE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457200</xdr:colOff>
      <xdr:row>79</xdr:row>
      <xdr:rowOff>15875</xdr:rowOff>
    </xdr:from>
    <xdr:to>
      <xdr:col>24</xdr:col>
      <xdr:colOff>374650</xdr:colOff>
      <xdr:row>93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D5389A-79E9-28D3-4F35-3D4169020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107950</xdr:colOff>
      <xdr:row>96</xdr:row>
      <xdr:rowOff>66675</xdr:rowOff>
    </xdr:from>
    <xdr:to>
      <xdr:col>10</xdr:col>
      <xdr:colOff>266700</xdr:colOff>
      <xdr:row>111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D96C02-6924-E9B4-80B1-899343944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31705787039" createdVersion="8" refreshedVersion="8" minRefreshableVersion="3" recordCount="21" xr:uid="{0987A3CA-5E8B-4AD3-BBE2-9003292632A9}">
  <cacheSource type="worksheet">
    <worksheetSource ref="A1:P1048576" sheet="car_sales_2025-11-15-1415"/>
  </cacheSource>
  <cacheFields count="16">
    <cacheField name="YEAR" numFmtId="0">
      <sharedItems containsString="0" containsBlank="1" containsNumber="1" containsInteger="1" minValue="1995" maxValue="2014" count="12">
        <n v="2008"/>
        <n v="2006"/>
        <n v="2005"/>
        <n v="2004"/>
        <n v="2012"/>
        <n v="2013"/>
        <n v="2010"/>
        <n v="2014"/>
        <n v="2007"/>
        <n v="2001"/>
        <n v="1995"/>
        <m/>
      </sharedItems>
    </cacheField>
    <cacheField name="MAKE" numFmtId="0">
      <sharedItems containsBlank="1" count="15">
        <s v="GMC"/>
        <s v="Jeep"/>
        <s v="Dodge"/>
        <s v="Ford"/>
        <s v="Acura"/>
        <s v="BMW"/>
        <s v="Hyundai"/>
        <s v="Infiniti"/>
        <s v="Chrysler"/>
        <s v="Chevrolet"/>
        <s v="Lexus"/>
        <s v="Mercedes-Benz"/>
        <s v="Honda"/>
        <s v="Nissan"/>
        <m/>
      </sharedItems>
    </cacheField>
    <cacheField name="MODEL" numFmtId="0">
      <sharedItems containsBlank="1" count="20">
        <s v="Sierra 1500"/>
        <s v="Grand Cherokee"/>
        <s v="Durango"/>
        <s v="Freestar"/>
        <s v="TSX"/>
        <s v="5 Series"/>
        <s v="Sonata"/>
        <s v="G35"/>
        <s v="Sebring"/>
        <s v="Taurus"/>
        <s v="Equinox"/>
        <s v="IS 250"/>
        <s v="Crossfire"/>
        <s v="MDX"/>
        <s v="C-Class"/>
        <s v="C/K 2500 Series"/>
        <s v="CR-V"/>
        <s v="G Sedan"/>
        <s v="Altima"/>
        <m/>
      </sharedItems>
    </cacheField>
    <cacheField name="TRIM" numFmtId="0">
      <sharedItems containsBlank="1" count="17">
        <s v="SLE1"/>
        <s v="Limited"/>
        <s v="SXT"/>
        <s v="SE"/>
        <s v="Base"/>
        <s v="528i"/>
        <s v="GLS"/>
        <s v="Touring"/>
        <s v="SHO"/>
        <s v="LT"/>
        <s v="SEL"/>
        <s v="C320"/>
        <s v="Silverado"/>
        <s v="EX"/>
        <s v="G25x"/>
        <s v="2.5 S"/>
        <m/>
      </sharedItems>
    </cacheField>
    <cacheField name="TRANSMISSION" numFmtId="0">
      <sharedItems containsBlank="1" count="3">
        <s v="automatic"/>
        <s v="manual"/>
        <m/>
      </sharedItems>
    </cacheField>
    <cacheField name="VIN" numFmtId="0">
      <sharedItems containsBlank="1" count="21">
        <s v="1gtek19j48z176557"/>
        <s v="1j4hr58206c323543"/>
        <s v="1d4hb38nx5f584476"/>
        <s v="2fmza51684ba50097"/>
        <s v="jh4cu2f4xcc003075"/>
        <s v="wbaxg5c56ddy34896"/>
        <s v="5npeb4ac4ch390981"/>
        <s v="jnkcv54e25m423405"/>
        <s v="1c3cc4fb5an157536"/>
        <s v="1fahp2kt9dg144490"/>
        <s v="2gnalcek3e6126124"/>
        <s v="jthck262485018879"/>
        <s v="1c3an69lx5x038912"/>
        <s v="2hnyd28337h515298"/>
        <s v="1fafp56s74a107161"/>
        <s v="wdbrf64j81f013975"/>
        <s v="2gcfk29k8s1298048"/>
        <s v="jhlrm4h53cc003595"/>
        <s v="jn1dv6arxcm730257"/>
        <s v="1n4al2apxcc158275"/>
        <m/>
      </sharedItems>
    </cacheField>
    <cacheField name="STATE" numFmtId="0">
      <sharedItems containsBlank="1" count="12">
        <s v="fl"/>
        <s v="nv"/>
        <s v="pa"/>
        <s v="tx"/>
        <s v="ca"/>
        <s v="il"/>
        <s v="mo"/>
        <s v="az"/>
        <s v="nc"/>
        <s v="ga"/>
        <s v="nj"/>
        <m/>
      </sharedItems>
    </cacheField>
    <cacheField name="CONDITION" numFmtId="0">
      <sharedItems containsString="0" containsBlank="1" containsNumber="1" containsInteger="1" minValue="1" maxValue="47" count="20">
        <n v="37"/>
        <n v="45"/>
        <n v="24"/>
        <n v="2"/>
        <n v="33"/>
        <n v="39"/>
        <n v="34"/>
        <n v="27"/>
        <n v="31"/>
        <n v="47"/>
        <n v="43"/>
        <n v="35"/>
        <n v="29"/>
        <n v="22"/>
        <n v="28"/>
        <n v="25"/>
        <n v="1"/>
        <n v="41"/>
        <n v="36"/>
        <m/>
      </sharedItems>
    </cacheField>
    <cacheField name="COLOR" numFmtId="0">
      <sharedItems containsBlank="1" count="8">
        <s v="silver"/>
        <s v="blue"/>
        <s v="gold"/>
        <s v="gray"/>
        <s v="white"/>
        <s v="black"/>
        <s v="â€”"/>
        <m/>
      </sharedItems>
    </cacheField>
    <cacheField name="SALEDATE" numFmtId="0">
      <sharedItems containsBlank="1"/>
    </cacheField>
    <cacheField name="FULLTIMESTAMP" numFmtId="0">
      <sharedItems containsBlank="1"/>
    </cacheField>
    <cacheField name="SALEDATEONLY" numFmtId="0">
      <sharedItems containsDate="1" containsString="0" containsBlank="1" minDate="2015-01-14T00:00:00" maxDate="2015-02-20T00:00:00" count="9">
        <d v="2015-01-22T00:00:00"/>
        <d v="2015-01-16T00:00:00"/>
        <d v="2015-01-15T00:00:00"/>
        <d v="2015-01-20T00:00:00"/>
        <d v="2015-01-14T00:00:00"/>
        <d v="2015-01-21T00:00:00"/>
        <d v="2015-02-19T00:00:00"/>
        <d v="2015-01-23T00:00:00"/>
        <m/>
      </sharedItems>
    </cacheField>
    <cacheField name="SALETIMEONLY" numFmtId="0">
      <sharedItems containsBlank="1"/>
    </cacheField>
    <cacheField name="PRICE_BUCKET" numFmtId="0">
      <sharedItems containsBlank="1" count="2">
        <s v="Cheap"/>
        <m/>
      </sharedItems>
    </cacheField>
    <cacheField name="TOTAL_SALES_COUNT" numFmtId="0">
      <sharedItems containsString="0" containsBlank="1" containsNumber="1" containsInteger="1" minValue="1" maxValue="1" count="2">
        <n v="1"/>
        <m/>
      </sharedItems>
    </cacheField>
    <cacheField name="TOTAL_REVENUE" numFmtId="0">
      <sharedItems containsString="0" containsBlank="1" containsNumber="1" containsInteger="1" minValue="900" maxValue="298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x v="0"/>
    <x v="0"/>
    <x v="0"/>
    <x v="0"/>
    <x v="0"/>
    <s v="Thu Jan 22 2015 08:20:00"/>
    <s v="2015-01-22 08:20:00.000"/>
    <x v="0"/>
    <s v="08:20:00.000"/>
    <x v="0"/>
    <x v="0"/>
    <n v="13000"/>
  </r>
  <r>
    <x v="1"/>
    <x v="1"/>
    <x v="1"/>
    <x v="1"/>
    <x v="0"/>
    <x v="1"/>
    <x v="1"/>
    <x v="1"/>
    <x v="0"/>
    <s v="Fri Jan 16 2015 03:45:00"/>
    <s v="2015-01-16 03:45:00.000"/>
    <x v="1"/>
    <s v="03:45:00.000"/>
    <x v="0"/>
    <x v="0"/>
    <n v="13200"/>
  </r>
  <r>
    <x v="2"/>
    <x v="2"/>
    <x v="2"/>
    <x v="2"/>
    <x v="0"/>
    <x v="2"/>
    <x v="2"/>
    <x v="2"/>
    <x v="1"/>
    <s v="Fri Jan 16 2015 01:00:00"/>
    <s v="2015-01-16 01:00:00.000"/>
    <x v="1"/>
    <s v="01:00:00.000"/>
    <x v="0"/>
    <x v="0"/>
    <n v="6100"/>
  </r>
  <r>
    <x v="3"/>
    <x v="3"/>
    <x v="3"/>
    <x v="3"/>
    <x v="0"/>
    <x v="3"/>
    <x v="1"/>
    <x v="3"/>
    <x v="2"/>
    <s v="Thu Jan 15 2015 03:00:00"/>
    <s v="2015-01-15 03:00:00.000"/>
    <x v="2"/>
    <s v="03:00:00.000"/>
    <x v="0"/>
    <x v="0"/>
    <n v="900"/>
  </r>
  <r>
    <x v="4"/>
    <x v="4"/>
    <x v="4"/>
    <x v="4"/>
    <x v="0"/>
    <x v="4"/>
    <x v="1"/>
    <x v="4"/>
    <x v="3"/>
    <s v="Fri Jan 16 2015 04:00:00"/>
    <s v="2015-01-16 04:00:00.000"/>
    <x v="1"/>
    <s v="04:00:00.000"/>
    <x v="0"/>
    <x v="0"/>
    <n v="16500"/>
  </r>
  <r>
    <x v="5"/>
    <x v="5"/>
    <x v="5"/>
    <x v="5"/>
    <x v="0"/>
    <x v="5"/>
    <x v="0"/>
    <x v="5"/>
    <x v="4"/>
    <s v="Thu Jan 15 2015 02:30:00"/>
    <s v="2015-01-15 02:30:00.000"/>
    <x v="2"/>
    <s v="02:30:00.000"/>
    <x v="0"/>
    <x v="0"/>
    <n v="29800"/>
  </r>
  <r>
    <x v="4"/>
    <x v="6"/>
    <x v="6"/>
    <x v="6"/>
    <x v="0"/>
    <x v="6"/>
    <x v="3"/>
    <x v="6"/>
    <x v="5"/>
    <s v="Tue Jan 20 2015 02:30:00"/>
    <s v="2015-01-20 02:30:00.000"/>
    <x v="3"/>
    <s v="02:30:00.000"/>
    <x v="0"/>
    <x v="0"/>
    <n v="11400"/>
  </r>
  <r>
    <x v="2"/>
    <x v="7"/>
    <x v="7"/>
    <x v="4"/>
    <x v="1"/>
    <x v="7"/>
    <x v="4"/>
    <x v="7"/>
    <x v="5"/>
    <s v="Wed Jan 14 2015 04:15:00"/>
    <s v="2015-01-14 04:15:00.000"/>
    <x v="4"/>
    <s v="04:15:00.000"/>
    <x v="0"/>
    <x v="0"/>
    <n v="11500"/>
  </r>
  <r>
    <x v="6"/>
    <x v="8"/>
    <x v="8"/>
    <x v="7"/>
    <x v="0"/>
    <x v="8"/>
    <x v="5"/>
    <x v="8"/>
    <x v="1"/>
    <s v="Tue Jan 20 2015 02:00:00"/>
    <s v="2015-01-20 02:00:00.000"/>
    <x v="3"/>
    <s v="02:00:00.000"/>
    <x v="0"/>
    <x v="0"/>
    <n v="5500"/>
  </r>
  <r>
    <x v="5"/>
    <x v="3"/>
    <x v="9"/>
    <x v="8"/>
    <x v="0"/>
    <x v="9"/>
    <x v="6"/>
    <x v="9"/>
    <x v="0"/>
    <s v="Wed Jan 21 2015 02:30:00"/>
    <s v="2015-01-21 02:30:00.000"/>
    <x v="5"/>
    <s v="02:30:00.000"/>
    <x v="0"/>
    <x v="0"/>
    <n v="25000"/>
  </r>
  <r>
    <x v="7"/>
    <x v="9"/>
    <x v="10"/>
    <x v="9"/>
    <x v="0"/>
    <x v="10"/>
    <x v="7"/>
    <x v="10"/>
    <x v="0"/>
    <s v="Thu Jan 22 2015 03:30:00"/>
    <s v="2015-01-22 03:30:00.000"/>
    <x v="0"/>
    <s v="03:30:00.000"/>
    <x v="0"/>
    <x v="0"/>
    <n v="17400"/>
  </r>
  <r>
    <x v="0"/>
    <x v="10"/>
    <x v="11"/>
    <x v="4"/>
    <x v="2"/>
    <x v="11"/>
    <x v="2"/>
    <x v="11"/>
    <x v="4"/>
    <s v="Fri Jan 16 2015 01:00:00"/>
    <s v="2015-01-16 01:00:00.000"/>
    <x v="1"/>
    <s v="01:00:00.000"/>
    <x v="0"/>
    <x v="0"/>
    <n v="13000"/>
  </r>
  <r>
    <x v="2"/>
    <x v="8"/>
    <x v="12"/>
    <x v="1"/>
    <x v="0"/>
    <x v="12"/>
    <x v="8"/>
    <x v="12"/>
    <x v="6"/>
    <s v="Wed Jan 14 2015 06:30:00"/>
    <s v="2015-01-14 06:30:00.000"/>
    <x v="4"/>
    <s v="06:30:00.000"/>
    <x v="0"/>
    <x v="0"/>
    <n v="5900"/>
  </r>
  <r>
    <x v="8"/>
    <x v="4"/>
    <x v="13"/>
    <x v="4"/>
    <x v="0"/>
    <x v="13"/>
    <x v="9"/>
    <x v="13"/>
    <x v="0"/>
    <s v="Thu Jan 22 2015 02:00:00"/>
    <s v="2015-01-22 02:00:00.000"/>
    <x v="0"/>
    <s v="02:00:00.000"/>
    <x v="0"/>
    <x v="0"/>
    <n v="11500"/>
  </r>
  <r>
    <x v="3"/>
    <x v="3"/>
    <x v="9"/>
    <x v="10"/>
    <x v="0"/>
    <x v="14"/>
    <x v="8"/>
    <x v="14"/>
    <x v="5"/>
    <s v="Tue Jan 20 2015 01:30:00"/>
    <s v="2015-01-20 01:30:00.000"/>
    <x v="3"/>
    <s v="01:30:00.000"/>
    <x v="0"/>
    <x v="0"/>
    <n v="1500"/>
  </r>
  <r>
    <x v="9"/>
    <x v="11"/>
    <x v="14"/>
    <x v="11"/>
    <x v="0"/>
    <x v="15"/>
    <x v="4"/>
    <x v="15"/>
    <x v="2"/>
    <s v="Thu Jan 22 2015 04:00:00"/>
    <s v="2015-01-22 04:00:00.000"/>
    <x v="0"/>
    <s v="04:00:00.000"/>
    <x v="0"/>
    <x v="0"/>
    <n v="2600"/>
  </r>
  <r>
    <x v="10"/>
    <x v="9"/>
    <x v="15"/>
    <x v="12"/>
    <x v="0"/>
    <x v="16"/>
    <x v="4"/>
    <x v="16"/>
    <x v="4"/>
    <s v="Thu Feb 19 2015 04:00:00"/>
    <s v="2015-02-19 04:00:00.000"/>
    <x v="6"/>
    <s v="04:00:00.000"/>
    <x v="0"/>
    <x v="0"/>
    <n v="1800"/>
  </r>
  <r>
    <x v="4"/>
    <x v="12"/>
    <x v="16"/>
    <x v="13"/>
    <x v="2"/>
    <x v="17"/>
    <x v="2"/>
    <x v="17"/>
    <x v="0"/>
    <s v="Fri Jan 23 2015 01:00:00"/>
    <s v="2015-01-23 01:00:00.000"/>
    <x v="7"/>
    <s v="01:00:00.000"/>
    <x v="0"/>
    <x v="0"/>
    <n v="17100"/>
  </r>
  <r>
    <x v="4"/>
    <x v="7"/>
    <x v="17"/>
    <x v="14"/>
    <x v="0"/>
    <x v="18"/>
    <x v="5"/>
    <x v="18"/>
    <x v="3"/>
    <s v="Thu Jan 22 2015 02:00:00"/>
    <s v="2015-01-22 02:00:00.000"/>
    <x v="0"/>
    <s v="02:00:00.000"/>
    <x v="0"/>
    <x v="0"/>
    <n v="17300"/>
  </r>
  <r>
    <x v="4"/>
    <x v="13"/>
    <x v="18"/>
    <x v="15"/>
    <x v="0"/>
    <x v="19"/>
    <x v="10"/>
    <x v="3"/>
    <x v="3"/>
    <s v="Wed Jan 21 2015 01:30:00"/>
    <s v="2015-01-21 01:30:00.000"/>
    <x v="5"/>
    <s v="01:30:00.000"/>
    <x v="0"/>
    <x v="0"/>
    <n v="9900"/>
  </r>
  <r>
    <x v="11"/>
    <x v="14"/>
    <x v="19"/>
    <x v="16"/>
    <x v="2"/>
    <x v="20"/>
    <x v="11"/>
    <x v="19"/>
    <x v="7"/>
    <m/>
    <m/>
    <x v="8"/>
    <m/>
    <x v="1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BD914-F2CF-417A-B410-7E48439C3C5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A18:H38" firstHeaderRow="1" firstDataRow="2" firstDataCol="1"/>
  <pivotFields count="16">
    <pivotField showAll="0">
      <items count="13">
        <item x="10"/>
        <item x="9"/>
        <item x="3"/>
        <item x="2"/>
        <item x="1"/>
        <item x="8"/>
        <item x="0"/>
        <item x="6"/>
        <item x="4"/>
        <item x="5"/>
        <item x="7"/>
        <item h="1" x="11"/>
        <item t="default"/>
      </items>
    </pivotField>
    <pivotField showAll="0">
      <items count="16">
        <item x="4"/>
        <item x="5"/>
        <item x="9"/>
        <item x="8"/>
        <item x="2"/>
        <item x="3"/>
        <item x="0"/>
        <item x="12"/>
        <item x="6"/>
        <item x="7"/>
        <item x="1"/>
        <item x="10"/>
        <item x="11"/>
        <item x="13"/>
        <item x="14"/>
        <item t="default"/>
      </items>
    </pivotField>
    <pivotField axis="axisRow" showAll="0">
      <items count="21">
        <item x="5"/>
        <item x="18"/>
        <item x="15"/>
        <item x="14"/>
        <item x="12"/>
        <item x="16"/>
        <item x="2"/>
        <item x="10"/>
        <item x="3"/>
        <item x="17"/>
        <item x="7"/>
        <item x="1"/>
        <item x="11"/>
        <item x="13"/>
        <item x="8"/>
        <item x="0"/>
        <item x="6"/>
        <item x="9"/>
        <item x="4"/>
        <item h="1" x="19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9">
        <item h="1" x="6"/>
        <item x="5"/>
        <item x="1"/>
        <item x="2"/>
        <item x="3"/>
        <item x="0"/>
        <item x="4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8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REVENUE" fld="15" showDataAs="percentOfTotal" baseField="0" baseItem="0" numFmtId="10"/>
  </dataFields>
  <chartFormats count="7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3D0FE-AFB7-471E-8855-A0B2C787C56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A3:B15" firstHeaderRow="1" firstDataRow="1" firstDataCol="1"/>
  <pivotFields count="16">
    <pivotField axis="axisRow" showAll="0">
      <items count="13">
        <item x="10"/>
        <item x="9"/>
        <item x="3"/>
        <item x="2"/>
        <item x="1"/>
        <item x="8"/>
        <item x="0"/>
        <item x="6"/>
        <item x="4"/>
        <item x="5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REVENUE" fld="15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06307-41C3-4BD5-95D3-3C7669DDC27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A98:D111" firstHeaderRow="1" firstDataRow="2" firstDataCol="1"/>
  <pivotFields count="16">
    <pivotField showAll="0">
      <items count="13">
        <item x="10"/>
        <item x="9"/>
        <item x="3"/>
        <item x="2"/>
        <item x="1"/>
        <item x="8"/>
        <item x="0"/>
        <item x="6"/>
        <item x="4"/>
        <item x="5"/>
        <item x="7"/>
        <item h="1" x="11"/>
        <item t="default"/>
      </items>
    </pivotField>
    <pivotField showAll="0">
      <items count="16">
        <item x="4"/>
        <item x="5"/>
        <item x="9"/>
        <item x="8"/>
        <item x="2"/>
        <item x="3"/>
        <item x="0"/>
        <item x="12"/>
        <item x="6"/>
        <item x="7"/>
        <item x="1"/>
        <item x="10"/>
        <item x="11"/>
        <item x="13"/>
        <item h="1" x="14"/>
        <item t="default"/>
      </items>
    </pivotField>
    <pivotField showAll="0">
      <items count="21">
        <item x="5"/>
        <item x="18"/>
        <item x="15"/>
        <item x="14"/>
        <item x="12"/>
        <item x="16"/>
        <item x="2"/>
        <item x="10"/>
        <item x="3"/>
        <item x="17"/>
        <item x="7"/>
        <item x="1"/>
        <item x="11"/>
        <item x="13"/>
        <item x="8"/>
        <item x="0"/>
        <item x="6"/>
        <item x="9"/>
        <item x="4"/>
        <item h="1" x="19"/>
        <item t="default"/>
      </items>
    </pivotField>
    <pivotField showAll="0">
      <items count="18">
        <item x="15"/>
        <item x="5"/>
        <item x="4"/>
        <item x="11"/>
        <item x="13"/>
        <item x="14"/>
        <item x="6"/>
        <item x="1"/>
        <item x="9"/>
        <item x="3"/>
        <item x="10"/>
        <item x="8"/>
        <item x="12"/>
        <item x="0"/>
        <item x="2"/>
        <item x="7"/>
        <item h="1" x="16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>
      <items count="22">
        <item x="12"/>
        <item x="8"/>
        <item x="2"/>
        <item x="14"/>
        <item x="9"/>
        <item x="0"/>
        <item x="1"/>
        <item x="19"/>
        <item x="3"/>
        <item x="16"/>
        <item x="10"/>
        <item x="13"/>
        <item x="6"/>
        <item x="4"/>
        <item x="17"/>
        <item x="18"/>
        <item x="7"/>
        <item x="11"/>
        <item x="5"/>
        <item x="15"/>
        <item x="20"/>
        <item t="default"/>
      </items>
    </pivotField>
    <pivotField axis="axisRow" showAll="0">
      <items count="13">
        <item x="7"/>
        <item x="4"/>
        <item x="0"/>
        <item x="9"/>
        <item x="5"/>
        <item x="6"/>
        <item x="8"/>
        <item x="10"/>
        <item x="1"/>
        <item x="2"/>
        <item x="3"/>
        <item h="1" x="11"/>
        <item t="default"/>
      </items>
    </pivotField>
    <pivotField showAll="0">
      <items count="21">
        <item x="16"/>
        <item x="3"/>
        <item x="13"/>
        <item x="2"/>
        <item x="15"/>
        <item x="7"/>
        <item x="14"/>
        <item x="12"/>
        <item x="8"/>
        <item x="4"/>
        <item x="6"/>
        <item x="11"/>
        <item x="18"/>
        <item x="0"/>
        <item x="5"/>
        <item x="17"/>
        <item x="10"/>
        <item x="1"/>
        <item x="9"/>
        <item h="1" x="19"/>
        <item t="default"/>
      </items>
    </pivotField>
    <pivotField showAll="0">
      <items count="9">
        <item h="1" x="6"/>
        <item x="5"/>
        <item x="1"/>
        <item x="2"/>
        <item x="3"/>
        <item x="0"/>
        <item x="4"/>
        <item h="1" x="7"/>
        <item t="default"/>
      </items>
    </pivotField>
    <pivotField showAll="0"/>
    <pivotField showAll="0"/>
    <pivotField showAll="0">
      <items count="10">
        <item x="4"/>
        <item x="2"/>
        <item x="1"/>
        <item x="3"/>
        <item x="5"/>
        <item x="0"/>
        <item x="7"/>
        <item x="6"/>
        <item h="1" x="8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_REVENUE" fld="15" showDataAs="percentOfTotal" baseField="0" baseItem="0" numFmtId="1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DA7EA-C087-4053-BB2D-F6B1C9E61E7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0">
  <location ref="A80:R93" firstHeaderRow="1" firstDataRow="2" firstDataCol="1"/>
  <pivotFields count="16">
    <pivotField axis="axisRow" showAll="0">
      <items count="13">
        <item x="10"/>
        <item x="9"/>
        <item x="3"/>
        <item x="2"/>
        <item x="1"/>
        <item x="8"/>
        <item x="0"/>
        <item x="6"/>
        <item x="4"/>
        <item x="5"/>
        <item x="7"/>
        <item h="1" x="11"/>
        <item t="default"/>
      </items>
    </pivotField>
    <pivotField showAll="0">
      <items count="16">
        <item x="4"/>
        <item x="5"/>
        <item x="9"/>
        <item x="8"/>
        <item x="2"/>
        <item x="3"/>
        <item x="0"/>
        <item x="12"/>
        <item x="6"/>
        <item x="7"/>
        <item x="1"/>
        <item x="10"/>
        <item x="11"/>
        <item x="13"/>
        <item h="1" x="14"/>
        <item t="default"/>
      </items>
    </pivotField>
    <pivotField showAll="0">
      <items count="21">
        <item x="5"/>
        <item x="18"/>
        <item x="15"/>
        <item x="14"/>
        <item x="12"/>
        <item x="16"/>
        <item x="2"/>
        <item x="10"/>
        <item x="3"/>
        <item x="17"/>
        <item x="7"/>
        <item x="1"/>
        <item x="11"/>
        <item x="13"/>
        <item x="8"/>
        <item x="0"/>
        <item x="6"/>
        <item x="9"/>
        <item x="4"/>
        <item h="1" x="19"/>
        <item t="default"/>
      </items>
    </pivotField>
    <pivotField axis="axisCol" showAll="0">
      <items count="18">
        <item x="15"/>
        <item x="5"/>
        <item x="4"/>
        <item x="11"/>
        <item x="13"/>
        <item x="14"/>
        <item x="6"/>
        <item x="1"/>
        <item x="9"/>
        <item x="3"/>
        <item x="10"/>
        <item x="8"/>
        <item x="12"/>
        <item x="0"/>
        <item x="2"/>
        <item x="7"/>
        <item h="1" x="16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21">
        <item x="16"/>
        <item x="3"/>
        <item x="13"/>
        <item x="2"/>
        <item x="15"/>
        <item x="7"/>
        <item x="14"/>
        <item x="12"/>
        <item x="8"/>
        <item x="4"/>
        <item x="6"/>
        <item x="11"/>
        <item x="18"/>
        <item x="0"/>
        <item x="5"/>
        <item x="17"/>
        <item x="10"/>
        <item x="1"/>
        <item x="9"/>
        <item h="1" x="19"/>
        <item t="default"/>
      </items>
    </pivotField>
    <pivotField showAll="0">
      <items count="9">
        <item h="1" x="6"/>
        <item x="5"/>
        <item x="1"/>
        <item x="2"/>
        <item x="3"/>
        <item x="0"/>
        <item x="4"/>
        <item h="1" x="7"/>
        <item t="default"/>
      </items>
    </pivotField>
    <pivotField showAll="0"/>
    <pivotField showAll="0"/>
    <pivotField showAll="0">
      <items count="10">
        <item x="4"/>
        <item x="2"/>
        <item x="1"/>
        <item x="3"/>
        <item x="5"/>
        <item x="0"/>
        <item x="7"/>
        <item x="6"/>
        <item h="1" x="8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TOTAL_REVENUE" fld="15" baseField="0" baseItem="0"/>
  </dataFields>
  <chartFormats count="3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7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7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7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7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7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7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7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7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0"/>
          </reference>
        </references>
      </pivotArea>
    </chartFormat>
    <chartFormat chart="47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9"/>
          </reference>
        </references>
      </pivotArea>
    </chartFormat>
    <chartFormat chart="47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8FF6C-E669-4E76-A8C3-62DE6B18A91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4">
  <location ref="A63:D72" firstHeaderRow="1" firstDataRow="2" firstDataCol="1"/>
  <pivotFields count="16">
    <pivotField showAll="0">
      <items count="13">
        <item x="10"/>
        <item x="9"/>
        <item x="3"/>
        <item x="2"/>
        <item x="1"/>
        <item x="8"/>
        <item x="0"/>
        <item x="6"/>
        <item x="4"/>
        <item x="5"/>
        <item x="7"/>
        <item h="1" x="11"/>
        <item t="default"/>
      </items>
    </pivotField>
    <pivotField showAll="0">
      <items count="16">
        <item x="4"/>
        <item x="5"/>
        <item x="9"/>
        <item x="8"/>
        <item x="2"/>
        <item x="3"/>
        <item x="0"/>
        <item x="12"/>
        <item x="6"/>
        <item x="7"/>
        <item x="1"/>
        <item x="10"/>
        <item x="11"/>
        <item x="13"/>
        <item h="1" x="14"/>
        <item t="default"/>
      </items>
    </pivotField>
    <pivotField showAll="0">
      <items count="21">
        <item x="5"/>
        <item x="18"/>
        <item x="15"/>
        <item x="14"/>
        <item x="12"/>
        <item x="16"/>
        <item x="2"/>
        <item x="10"/>
        <item x="3"/>
        <item x="17"/>
        <item x="7"/>
        <item x="1"/>
        <item x="11"/>
        <item x="13"/>
        <item x="8"/>
        <item x="0"/>
        <item x="6"/>
        <item x="9"/>
        <item x="4"/>
        <item h="1" x="19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21">
        <item x="16"/>
        <item x="3"/>
        <item x="13"/>
        <item x="2"/>
        <item x="15"/>
        <item x="7"/>
        <item x="14"/>
        <item x="12"/>
        <item x="8"/>
        <item x="4"/>
        <item x="6"/>
        <item x="11"/>
        <item x="18"/>
        <item x="0"/>
        <item x="5"/>
        <item x="17"/>
        <item x="10"/>
        <item x="1"/>
        <item x="9"/>
        <item h="1" x="19"/>
        <item t="default"/>
      </items>
    </pivotField>
    <pivotField showAll="0">
      <items count="9">
        <item h="1" x="6"/>
        <item x="5"/>
        <item x="1"/>
        <item x="2"/>
        <item x="3"/>
        <item x="0"/>
        <item x="4"/>
        <item h="1" x="7"/>
        <item t="default"/>
      </items>
    </pivotField>
    <pivotField showAll="0"/>
    <pivotField showAll="0"/>
    <pivotField axis="axisRow" showAll="0">
      <items count="10">
        <item x="4"/>
        <item x="2"/>
        <item x="1"/>
        <item x="3"/>
        <item x="5"/>
        <item x="0"/>
        <item x="7"/>
        <item x="6"/>
        <item h="1" x="8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_REVENUE" fld="15" showDataAs="percentOfTotal" baseField="0" baseItem="0" numFmtId="10"/>
  </dataFields>
  <chartFormats count="1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8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1" count="1" selected="0">
            <x v="0"/>
          </reference>
        </references>
      </pivotArea>
    </chartFormat>
    <chartFormat chart="28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1" count="1" selected="0">
            <x v="1"/>
          </reference>
        </references>
      </pivotArea>
    </chartFormat>
    <chartFormat chart="28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1" count="1" selected="0">
            <x v="2"/>
          </reference>
        </references>
      </pivotArea>
    </chartFormat>
    <chartFormat chart="28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1" count="1" selected="0">
            <x v="3"/>
          </reference>
        </references>
      </pivotArea>
    </chartFormat>
    <chartFormat chart="28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1" count="1" selected="0">
            <x v="4"/>
          </reference>
        </references>
      </pivotArea>
    </chartFormat>
    <chartFormat chart="28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1" count="1" selected="0">
            <x v="5"/>
          </reference>
        </references>
      </pivotArea>
    </chartFormat>
    <chartFormat chart="28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1" count="1" selected="0">
            <x v="7"/>
          </reference>
        </references>
      </pivotArea>
    </chartFormat>
    <chartFormat chart="28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1" count="1" selected="0">
            <x v="0"/>
          </reference>
        </references>
      </pivotArea>
    </chartFormat>
    <chartFormat chart="28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1" count="1" selected="0">
            <x v="1"/>
          </reference>
        </references>
      </pivotArea>
    </chartFormat>
    <chartFormat chart="28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1" count="1" selected="0">
            <x v="2"/>
          </reference>
        </references>
      </pivotArea>
    </chartFormat>
    <chartFormat chart="28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1" count="1" selected="0">
            <x v="3"/>
          </reference>
        </references>
      </pivotArea>
    </chartFormat>
    <chartFormat chart="28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1" count="1" selected="0">
            <x v="4"/>
          </reference>
        </references>
      </pivotArea>
    </chartFormat>
    <chartFormat chart="28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1" count="1" selected="0">
            <x v="5"/>
          </reference>
        </references>
      </pivotArea>
    </chartFormat>
    <chartFormat chart="28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8CBD8-5C67-4109-BED2-C4467BDB61D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0">
  <location ref="A40:P61" firstHeaderRow="1" firstDataRow="2" firstDataCol="1"/>
  <pivotFields count="16">
    <pivotField showAll="0">
      <items count="13">
        <item x="10"/>
        <item x="9"/>
        <item x="3"/>
        <item x="2"/>
        <item x="1"/>
        <item x="8"/>
        <item x="0"/>
        <item x="6"/>
        <item x="4"/>
        <item x="5"/>
        <item x="7"/>
        <item h="1" x="11"/>
        <item t="default"/>
      </items>
    </pivotField>
    <pivotField axis="axisCol" showAll="0">
      <items count="16">
        <item x="4"/>
        <item x="5"/>
        <item x="9"/>
        <item x="8"/>
        <item x="2"/>
        <item x="3"/>
        <item x="0"/>
        <item x="12"/>
        <item x="6"/>
        <item x="7"/>
        <item x="1"/>
        <item x="10"/>
        <item x="11"/>
        <item x="13"/>
        <item h="1" x="14"/>
        <item t="default"/>
      </items>
    </pivotField>
    <pivotField showAll="0">
      <items count="21">
        <item x="5"/>
        <item x="18"/>
        <item x="15"/>
        <item x="14"/>
        <item x="12"/>
        <item x="16"/>
        <item x="2"/>
        <item x="10"/>
        <item x="3"/>
        <item x="17"/>
        <item x="7"/>
        <item x="1"/>
        <item x="11"/>
        <item x="13"/>
        <item x="8"/>
        <item x="0"/>
        <item x="6"/>
        <item x="9"/>
        <item x="4"/>
        <item h="1" x="19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21">
        <item x="16"/>
        <item x="3"/>
        <item x="13"/>
        <item x="2"/>
        <item x="15"/>
        <item x="7"/>
        <item x="14"/>
        <item x="12"/>
        <item x="8"/>
        <item x="4"/>
        <item x="6"/>
        <item x="11"/>
        <item x="18"/>
        <item x="0"/>
        <item x="5"/>
        <item x="17"/>
        <item x="10"/>
        <item x="1"/>
        <item x="9"/>
        <item h="1" x="19"/>
        <item t="default"/>
      </items>
    </pivotField>
    <pivotField showAll="0">
      <items count="9">
        <item h="1" x="6"/>
        <item x="5"/>
        <item x="1"/>
        <item x="2"/>
        <item x="3"/>
        <item x="0"/>
        <item x="4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TOTAL_REVENUE" fld="15" showDataAs="percentOfTotal" baseField="0" baseItem="0" numFmtId="10"/>
  </dataFields>
  <chartFormats count="1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9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146C-4565-4B80-8C78-9E8B33EB8EF8}">
  <sheetPr filterMode="1"/>
  <dimension ref="A1:P21"/>
  <sheetViews>
    <sheetView topLeftCell="B1" workbookViewId="0">
      <selection activeCell="D9" sqref="D9"/>
    </sheetView>
  </sheetViews>
  <sheetFormatPr defaultRowHeight="14.5" x14ac:dyDescent="0.35"/>
  <cols>
    <col min="5" max="5" width="13.1796875" customWidth="1"/>
    <col min="8" max="8" width="11.54296875" customWidth="1"/>
    <col min="11" max="11" width="16.81640625" customWidth="1"/>
    <col min="12" max="12" width="13.7265625" customWidth="1"/>
    <col min="13" max="13" width="15.54296875" customWidth="1"/>
    <col min="14" max="14" width="12.54296875" customWidth="1"/>
    <col min="17" max="18" width="0" hidden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2008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37</v>
      </c>
      <c r="I2" t="s">
        <v>22</v>
      </c>
      <c r="J2" t="s">
        <v>23</v>
      </c>
      <c r="K2" t="s">
        <v>24</v>
      </c>
      <c r="L2" s="1">
        <v>42026</v>
      </c>
      <c r="M2" t="s">
        <v>25</v>
      </c>
      <c r="N2" t="s">
        <v>26</v>
      </c>
      <c r="O2">
        <v>1</v>
      </c>
      <c r="P2">
        <v>13000</v>
      </c>
    </row>
    <row r="3" spans="1:16" x14ac:dyDescent="0.35">
      <c r="A3">
        <v>2006</v>
      </c>
      <c r="B3" t="s">
        <v>27</v>
      </c>
      <c r="C3" t="s">
        <v>28</v>
      </c>
      <c r="D3" t="s">
        <v>29</v>
      </c>
      <c r="E3" t="s">
        <v>19</v>
      </c>
      <c r="F3" t="s">
        <v>30</v>
      </c>
      <c r="G3" t="s">
        <v>31</v>
      </c>
      <c r="H3">
        <v>45</v>
      </c>
      <c r="I3" t="s">
        <v>22</v>
      </c>
      <c r="J3" t="s">
        <v>32</v>
      </c>
      <c r="K3" t="s">
        <v>33</v>
      </c>
      <c r="L3" s="1">
        <v>42020</v>
      </c>
      <c r="M3" t="s">
        <v>34</v>
      </c>
      <c r="N3" t="s">
        <v>26</v>
      </c>
      <c r="O3">
        <v>1</v>
      </c>
      <c r="P3">
        <v>13200</v>
      </c>
    </row>
    <row r="4" spans="1:16" x14ac:dyDescent="0.35">
      <c r="A4">
        <v>2005</v>
      </c>
      <c r="B4" t="s">
        <v>35</v>
      </c>
      <c r="C4" t="s">
        <v>36</v>
      </c>
      <c r="D4" t="s">
        <v>37</v>
      </c>
      <c r="E4" t="s">
        <v>19</v>
      </c>
      <c r="F4" t="s">
        <v>38</v>
      </c>
      <c r="G4" t="s">
        <v>39</v>
      </c>
      <c r="H4">
        <v>24</v>
      </c>
      <c r="I4" t="s">
        <v>40</v>
      </c>
      <c r="J4" t="s">
        <v>41</v>
      </c>
      <c r="K4" t="s">
        <v>42</v>
      </c>
      <c r="L4" s="1">
        <v>42020</v>
      </c>
      <c r="M4" t="s">
        <v>43</v>
      </c>
      <c r="N4" t="s">
        <v>26</v>
      </c>
      <c r="O4">
        <v>1</v>
      </c>
      <c r="P4">
        <v>6100</v>
      </c>
    </row>
    <row r="5" spans="1:16" x14ac:dyDescent="0.35">
      <c r="A5">
        <v>2004</v>
      </c>
      <c r="B5" t="s">
        <v>44</v>
      </c>
      <c r="C5" t="s">
        <v>45</v>
      </c>
      <c r="D5" t="s">
        <v>46</v>
      </c>
      <c r="E5" t="s">
        <v>19</v>
      </c>
      <c r="F5" t="s">
        <v>47</v>
      </c>
      <c r="G5" t="s">
        <v>31</v>
      </c>
      <c r="H5">
        <v>2</v>
      </c>
      <c r="I5" t="s">
        <v>48</v>
      </c>
      <c r="J5" t="s">
        <v>49</v>
      </c>
      <c r="K5" t="s">
        <v>50</v>
      </c>
      <c r="L5" s="1">
        <v>42019</v>
      </c>
      <c r="M5" t="s">
        <v>51</v>
      </c>
      <c r="N5" t="s">
        <v>26</v>
      </c>
      <c r="O5">
        <v>1</v>
      </c>
      <c r="P5">
        <v>900</v>
      </c>
    </row>
    <row r="6" spans="1:16" x14ac:dyDescent="0.35">
      <c r="A6">
        <v>2012</v>
      </c>
      <c r="B6" t="s">
        <v>52</v>
      </c>
      <c r="C6" t="s">
        <v>53</v>
      </c>
      <c r="D6" t="s">
        <v>54</v>
      </c>
      <c r="E6" t="s">
        <v>19</v>
      </c>
      <c r="F6" t="s">
        <v>55</v>
      </c>
      <c r="G6" t="s">
        <v>31</v>
      </c>
      <c r="H6">
        <v>33</v>
      </c>
      <c r="I6" t="s">
        <v>56</v>
      </c>
      <c r="J6" t="s">
        <v>57</v>
      </c>
      <c r="K6" t="s">
        <v>58</v>
      </c>
      <c r="L6" s="1">
        <v>42020</v>
      </c>
      <c r="M6" t="s">
        <v>59</v>
      </c>
      <c r="N6" t="s">
        <v>26</v>
      </c>
      <c r="O6">
        <v>1</v>
      </c>
      <c r="P6">
        <v>16500</v>
      </c>
    </row>
    <row r="7" spans="1:16" x14ac:dyDescent="0.35">
      <c r="A7">
        <v>2013</v>
      </c>
      <c r="B7" t="s">
        <v>60</v>
      </c>
      <c r="C7" t="s">
        <v>61</v>
      </c>
      <c r="D7" t="s">
        <v>62</v>
      </c>
      <c r="E7" t="s">
        <v>19</v>
      </c>
      <c r="F7" t="s">
        <v>63</v>
      </c>
      <c r="G7" t="s">
        <v>21</v>
      </c>
      <c r="H7">
        <v>39</v>
      </c>
      <c r="I7" t="s">
        <v>64</v>
      </c>
      <c r="J7" t="s">
        <v>65</v>
      </c>
      <c r="K7" t="s">
        <v>66</v>
      </c>
      <c r="L7" s="1">
        <v>42019</v>
      </c>
      <c r="M7" t="s">
        <v>67</v>
      </c>
      <c r="N7" t="s">
        <v>26</v>
      </c>
      <c r="O7">
        <v>1</v>
      </c>
      <c r="P7">
        <v>29800</v>
      </c>
    </row>
    <row r="8" spans="1:16" x14ac:dyDescent="0.35">
      <c r="A8">
        <v>2012</v>
      </c>
      <c r="B8" t="s">
        <v>68</v>
      </c>
      <c r="C8" t="s">
        <v>69</v>
      </c>
      <c r="D8" t="s">
        <v>70</v>
      </c>
      <c r="E8" t="s">
        <v>19</v>
      </c>
      <c r="F8" t="s">
        <v>71</v>
      </c>
      <c r="G8" t="s">
        <v>72</v>
      </c>
      <c r="H8">
        <v>34</v>
      </c>
      <c r="I8" t="s">
        <v>73</v>
      </c>
      <c r="J8" t="s">
        <v>74</v>
      </c>
      <c r="K8" t="s">
        <v>75</v>
      </c>
      <c r="L8" s="1">
        <v>42024</v>
      </c>
      <c r="M8" t="s">
        <v>67</v>
      </c>
      <c r="N8" t="s">
        <v>26</v>
      </c>
      <c r="O8">
        <v>1</v>
      </c>
      <c r="P8">
        <v>11400</v>
      </c>
    </row>
    <row r="9" spans="1:16" x14ac:dyDescent="0.35">
      <c r="A9">
        <v>2005</v>
      </c>
      <c r="B9" t="s">
        <v>76</v>
      </c>
      <c r="C9" t="s">
        <v>77</v>
      </c>
      <c r="D9" t="s">
        <v>54</v>
      </c>
      <c r="E9" t="s">
        <v>78</v>
      </c>
      <c r="F9" t="s">
        <v>79</v>
      </c>
      <c r="G9" t="s">
        <v>80</v>
      </c>
      <c r="H9">
        <v>27</v>
      </c>
      <c r="I9" t="s">
        <v>73</v>
      </c>
      <c r="J9" t="s">
        <v>81</v>
      </c>
      <c r="K9" t="s">
        <v>82</v>
      </c>
      <c r="L9" s="1">
        <v>42018</v>
      </c>
      <c r="M9" t="s">
        <v>83</v>
      </c>
      <c r="N9" t="s">
        <v>26</v>
      </c>
      <c r="O9">
        <v>1</v>
      </c>
      <c r="P9">
        <v>11500</v>
      </c>
    </row>
    <row r="10" spans="1:16" x14ac:dyDescent="0.35">
      <c r="A10">
        <v>2010</v>
      </c>
      <c r="B10" t="s">
        <v>84</v>
      </c>
      <c r="C10" t="s">
        <v>85</v>
      </c>
      <c r="D10" t="s">
        <v>86</v>
      </c>
      <c r="E10" t="s">
        <v>19</v>
      </c>
      <c r="F10" t="s">
        <v>87</v>
      </c>
      <c r="G10" t="s">
        <v>88</v>
      </c>
      <c r="H10">
        <v>31</v>
      </c>
      <c r="I10" t="s">
        <v>40</v>
      </c>
      <c r="J10" t="s">
        <v>89</v>
      </c>
      <c r="K10" t="s">
        <v>90</v>
      </c>
      <c r="L10" s="1">
        <v>42024</v>
      </c>
      <c r="M10" t="s">
        <v>91</v>
      </c>
      <c r="N10" t="s">
        <v>26</v>
      </c>
      <c r="O10">
        <v>1</v>
      </c>
      <c r="P10">
        <v>5500</v>
      </c>
    </row>
    <row r="11" spans="1:16" x14ac:dyDescent="0.35">
      <c r="A11">
        <v>2013</v>
      </c>
      <c r="B11" t="s">
        <v>44</v>
      </c>
      <c r="C11" t="s">
        <v>92</v>
      </c>
      <c r="D11" t="s">
        <v>93</v>
      </c>
      <c r="E11" t="s">
        <v>19</v>
      </c>
      <c r="F11" t="s">
        <v>94</v>
      </c>
      <c r="G11" t="s">
        <v>95</v>
      </c>
      <c r="H11">
        <v>47</v>
      </c>
      <c r="I11" t="s">
        <v>22</v>
      </c>
      <c r="J11" t="s">
        <v>96</v>
      </c>
      <c r="K11" t="s">
        <v>97</v>
      </c>
      <c r="L11" s="1">
        <v>42025</v>
      </c>
      <c r="M11" t="s">
        <v>67</v>
      </c>
      <c r="N11" t="s">
        <v>26</v>
      </c>
      <c r="O11">
        <v>1</v>
      </c>
      <c r="P11">
        <v>25000</v>
      </c>
    </row>
    <row r="12" spans="1:16" x14ac:dyDescent="0.35">
      <c r="A12">
        <v>2014</v>
      </c>
      <c r="B12" t="s">
        <v>98</v>
      </c>
      <c r="C12" t="s">
        <v>99</v>
      </c>
      <c r="D12" t="s">
        <v>100</v>
      </c>
      <c r="E12" t="s">
        <v>19</v>
      </c>
      <c r="F12" t="s">
        <v>101</v>
      </c>
      <c r="G12" t="s">
        <v>102</v>
      </c>
      <c r="H12">
        <v>43</v>
      </c>
      <c r="I12" t="s">
        <v>22</v>
      </c>
      <c r="J12" t="s">
        <v>103</v>
      </c>
      <c r="K12" t="s">
        <v>104</v>
      </c>
      <c r="L12" s="1">
        <v>42026</v>
      </c>
      <c r="M12" t="s">
        <v>105</v>
      </c>
      <c r="N12" t="s">
        <v>26</v>
      </c>
      <c r="O12">
        <v>1</v>
      </c>
      <c r="P12">
        <v>17400</v>
      </c>
    </row>
    <row r="13" spans="1:16" hidden="1" x14ac:dyDescent="0.35">
      <c r="A13">
        <v>2008</v>
      </c>
      <c r="B13" t="s">
        <v>106</v>
      </c>
      <c r="C13" t="s">
        <v>107</v>
      </c>
      <c r="D13" t="s">
        <v>54</v>
      </c>
      <c r="F13" t="s">
        <v>108</v>
      </c>
      <c r="G13" t="s">
        <v>39</v>
      </c>
      <c r="H13">
        <v>35</v>
      </c>
      <c r="I13" t="s">
        <v>64</v>
      </c>
      <c r="J13" t="s">
        <v>41</v>
      </c>
      <c r="K13" t="s">
        <v>42</v>
      </c>
      <c r="L13" s="1">
        <v>42020</v>
      </c>
      <c r="M13" t="s">
        <v>43</v>
      </c>
      <c r="N13" t="s">
        <v>26</v>
      </c>
      <c r="O13">
        <v>1</v>
      </c>
      <c r="P13">
        <v>13000</v>
      </c>
    </row>
    <row r="14" spans="1:16" x14ac:dyDescent="0.35">
      <c r="A14">
        <v>2005</v>
      </c>
      <c r="B14" t="s">
        <v>84</v>
      </c>
      <c r="C14" t="s">
        <v>109</v>
      </c>
      <c r="D14" t="s">
        <v>29</v>
      </c>
      <c r="E14" t="s">
        <v>19</v>
      </c>
      <c r="F14" t="s">
        <v>110</v>
      </c>
      <c r="G14" t="s">
        <v>111</v>
      </c>
      <c r="H14">
        <v>29</v>
      </c>
      <c r="I14" t="s">
        <v>112</v>
      </c>
      <c r="J14" t="s">
        <v>113</v>
      </c>
      <c r="K14" t="s">
        <v>114</v>
      </c>
      <c r="L14" s="1">
        <v>42018</v>
      </c>
      <c r="M14" t="s">
        <v>115</v>
      </c>
      <c r="N14" t="s">
        <v>26</v>
      </c>
      <c r="O14">
        <v>1</v>
      </c>
      <c r="P14">
        <v>5900</v>
      </c>
    </row>
    <row r="15" spans="1:16" x14ac:dyDescent="0.35">
      <c r="A15">
        <v>2007</v>
      </c>
      <c r="B15" t="s">
        <v>52</v>
      </c>
      <c r="C15" t="s">
        <v>116</v>
      </c>
      <c r="D15" t="s">
        <v>54</v>
      </c>
      <c r="E15" t="s">
        <v>19</v>
      </c>
      <c r="F15" t="s">
        <v>117</v>
      </c>
      <c r="G15" t="s">
        <v>118</v>
      </c>
      <c r="H15">
        <v>22</v>
      </c>
      <c r="I15" t="s">
        <v>22</v>
      </c>
      <c r="J15" t="s">
        <v>119</v>
      </c>
      <c r="K15" t="s">
        <v>120</v>
      </c>
      <c r="L15" s="1">
        <v>42026</v>
      </c>
      <c r="M15" t="s">
        <v>91</v>
      </c>
      <c r="N15" t="s">
        <v>26</v>
      </c>
      <c r="O15">
        <v>1</v>
      </c>
      <c r="P15">
        <v>11500</v>
      </c>
    </row>
    <row r="16" spans="1:16" x14ac:dyDescent="0.35">
      <c r="A16">
        <v>2004</v>
      </c>
      <c r="B16" t="s">
        <v>44</v>
      </c>
      <c r="C16" t="s">
        <v>92</v>
      </c>
      <c r="D16" t="s">
        <v>121</v>
      </c>
      <c r="E16" t="s">
        <v>19</v>
      </c>
      <c r="F16" t="s">
        <v>122</v>
      </c>
      <c r="G16" t="s">
        <v>111</v>
      </c>
      <c r="H16">
        <v>28</v>
      </c>
      <c r="I16" t="s">
        <v>73</v>
      </c>
      <c r="J16" t="s">
        <v>123</v>
      </c>
      <c r="K16" t="s">
        <v>124</v>
      </c>
      <c r="L16" s="1">
        <v>42024</v>
      </c>
      <c r="M16" t="s">
        <v>125</v>
      </c>
      <c r="N16" t="s">
        <v>26</v>
      </c>
      <c r="O16">
        <v>1</v>
      </c>
      <c r="P16">
        <v>1500</v>
      </c>
    </row>
    <row r="17" spans="1:16" x14ac:dyDescent="0.35">
      <c r="A17">
        <v>2001</v>
      </c>
      <c r="B17" t="s">
        <v>126</v>
      </c>
      <c r="C17" t="s">
        <v>127</v>
      </c>
      <c r="D17" t="s">
        <v>128</v>
      </c>
      <c r="E17" t="s">
        <v>19</v>
      </c>
      <c r="F17" t="s">
        <v>129</v>
      </c>
      <c r="G17" t="s">
        <v>80</v>
      </c>
      <c r="H17">
        <v>25</v>
      </c>
      <c r="I17" t="s">
        <v>48</v>
      </c>
      <c r="J17" t="s">
        <v>130</v>
      </c>
      <c r="K17" t="s">
        <v>131</v>
      </c>
      <c r="L17" s="1">
        <v>42026</v>
      </c>
      <c r="M17" t="s">
        <v>59</v>
      </c>
      <c r="N17" t="s">
        <v>26</v>
      </c>
      <c r="O17">
        <v>1</v>
      </c>
      <c r="P17">
        <v>2600</v>
      </c>
    </row>
    <row r="18" spans="1:16" x14ac:dyDescent="0.35">
      <c r="A18">
        <v>1995</v>
      </c>
      <c r="B18" t="s">
        <v>98</v>
      </c>
      <c r="C18" t="s">
        <v>132</v>
      </c>
      <c r="D18" t="s">
        <v>133</v>
      </c>
      <c r="E18" t="s">
        <v>19</v>
      </c>
      <c r="F18" t="s">
        <v>134</v>
      </c>
      <c r="G18" t="s">
        <v>80</v>
      </c>
      <c r="H18">
        <v>1</v>
      </c>
      <c r="I18" t="s">
        <v>64</v>
      </c>
      <c r="J18" t="s">
        <v>135</v>
      </c>
      <c r="K18" t="s">
        <v>136</v>
      </c>
      <c r="L18" s="1">
        <v>42054</v>
      </c>
      <c r="M18" t="s">
        <v>59</v>
      </c>
      <c r="N18" t="s">
        <v>26</v>
      </c>
      <c r="O18">
        <v>1</v>
      </c>
      <c r="P18">
        <v>1800</v>
      </c>
    </row>
    <row r="19" spans="1:16" hidden="1" x14ac:dyDescent="0.35">
      <c r="A19">
        <v>2012</v>
      </c>
      <c r="B19" t="s">
        <v>137</v>
      </c>
      <c r="C19" t="s">
        <v>138</v>
      </c>
      <c r="D19" t="s">
        <v>139</v>
      </c>
      <c r="F19" t="s">
        <v>140</v>
      </c>
      <c r="G19" t="s">
        <v>39</v>
      </c>
      <c r="H19">
        <v>41</v>
      </c>
      <c r="I19" t="s">
        <v>22</v>
      </c>
      <c r="J19" t="s">
        <v>141</v>
      </c>
      <c r="K19" t="s">
        <v>142</v>
      </c>
      <c r="L19" s="1">
        <v>42027</v>
      </c>
      <c r="M19" t="s">
        <v>43</v>
      </c>
      <c r="N19" t="s">
        <v>26</v>
      </c>
      <c r="O19">
        <v>1</v>
      </c>
      <c r="P19">
        <v>17100</v>
      </c>
    </row>
    <row r="20" spans="1:16" x14ac:dyDescent="0.35">
      <c r="A20">
        <v>2012</v>
      </c>
      <c r="B20" t="s">
        <v>76</v>
      </c>
      <c r="C20" t="s">
        <v>143</v>
      </c>
      <c r="D20" t="s">
        <v>144</v>
      </c>
      <c r="E20" t="s">
        <v>19</v>
      </c>
      <c r="F20" t="s">
        <v>145</v>
      </c>
      <c r="G20" t="s">
        <v>88</v>
      </c>
      <c r="H20">
        <v>36</v>
      </c>
      <c r="I20" t="s">
        <v>56</v>
      </c>
      <c r="J20" t="s">
        <v>119</v>
      </c>
      <c r="K20" t="s">
        <v>120</v>
      </c>
      <c r="L20" s="1">
        <v>42026</v>
      </c>
      <c r="M20" t="s">
        <v>91</v>
      </c>
      <c r="N20" t="s">
        <v>26</v>
      </c>
      <c r="O20">
        <v>1</v>
      </c>
      <c r="P20">
        <v>17300</v>
      </c>
    </row>
    <row r="21" spans="1:16" x14ac:dyDescent="0.35">
      <c r="A21">
        <v>2012</v>
      </c>
      <c r="B21" t="s">
        <v>146</v>
      </c>
      <c r="C21" t="s">
        <v>147</v>
      </c>
      <c r="D21" t="s">
        <v>148</v>
      </c>
      <c r="E21" t="s">
        <v>19</v>
      </c>
      <c r="F21" t="s">
        <v>149</v>
      </c>
      <c r="G21" t="s">
        <v>150</v>
      </c>
      <c r="H21">
        <v>2</v>
      </c>
      <c r="I21" t="s">
        <v>56</v>
      </c>
      <c r="J21" t="s">
        <v>151</v>
      </c>
      <c r="K21" t="s">
        <v>152</v>
      </c>
      <c r="L21" s="1">
        <v>42025</v>
      </c>
      <c r="M21" t="s">
        <v>125</v>
      </c>
      <c r="N21" t="s">
        <v>26</v>
      </c>
      <c r="O21">
        <v>1</v>
      </c>
      <c r="P21">
        <v>9900</v>
      </c>
    </row>
  </sheetData>
  <autoFilter ref="A1:P21" xr:uid="{3EF9146C-4565-4B80-8C78-9E8B33EB8EF8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D328-0A05-4E4E-8551-61F08CEEEC42}">
  <dimension ref="A3:R111"/>
  <sheetViews>
    <sheetView tabSelected="1" topLeftCell="A42" workbookViewId="0">
      <selection activeCell="E98" sqref="E98"/>
    </sheetView>
  </sheetViews>
  <sheetFormatPr defaultRowHeight="14.5" x14ac:dyDescent="0.35"/>
  <cols>
    <col min="1" max="1" width="20.90625" bestFit="1" customWidth="1"/>
    <col min="2" max="2" width="15.6328125" bestFit="1" customWidth="1"/>
    <col min="3" max="3" width="5.90625" bestFit="1" customWidth="1"/>
    <col min="4" max="4" width="7.90625" customWidth="1"/>
    <col min="5" max="7" width="6.90625" bestFit="1" customWidth="1"/>
    <col min="8" max="8" width="10.36328125" bestFit="1" customWidth="1"/>
    <col min="9" max="9" width="17.6328125" bestFit="1" customWidth="1"/>
    <col min="10" max="10" width="18.1796875" bestFit="1" customWidth="1"/>
    <col min="11" max="11" width="17.453125" bestFit="1" customWidth="1"/>
    <col min="12" max="12" width="17.54296875" bestFit="1" customWidth="1"/>
    <col min="13" max="13" width="18.26953125" bestFit="1" customWidth="1"/>
    <col min="14" max="14" width="18.36328125" bestFit="1" customWidth="1"/>
    <col min="15" max="15" width="17.26953125" bestFit="1" customWidth="1"/>
    <col min="16" max="16" width="17.54296875" bestFit="1" customWidth="1"/>
    <col min="17" max="17" width="17.81640625" bestFit="1" customWidth="1"/>
    <col min="18" max="18" width="18.1796875" bestFit="1" customWidth="1"/>
    <col min="19" max="19" width="17.26953125" bestFit="1" customWidth="1"/>
    <col min="20" max="20" width="18.36328125" bestFit="1" customWidth="1"/>
    <col min="21" max="21" width="17" bestFit="1" customWidth="1"/>
    <col min="22" max="22" width="6.81640625" bestFit="1" customWidth="1"/>
    <col min="23" max="23" width="10.36328125" bestFit="1" customWidth="1"/>
  </cols>
  <sheetData>
    <row r="3" spans="1:2" x14ac:dyDescent="0.35">
      <c r="A3" s="2" t="s">
        <v>154</v>
      </c>
      <c r="B3" t="s">
        <v>153</v>
      </c>
    </row>
    <row r="4" spans="1:2" x14ac:dyDescent="0.35">
      <c r="A4" s="3">
        <v>1995</v>
      </c>
      <c r="B4">
        <v>1800</v>
      </c>
    </row>
    <row r="5" spans="1:2" x14ac:dyDescent="0.35">
      <c r="A5" s="3">
        <v>2001</v>
      </c>
      <c r="B5">
        <v>2600</v>
      </c>
    </row>
    <row r="6" spans="1:2" x14ac:dyDescent="0.35">
      <c r="A6" s="3">
        <v>2004</v>
      </c>
      <c r="B6">
        <v>2400</v>
      </c>
    </row>
    <row r="7" spans="1:2" x14ac:dyDescent="0.35">
      <c r="A7" s="3">
        <v>2005</v>
      </c>
      <c r="B7">
        <v>23500</v>
      </c>
    </row>
    <row r="8" spans="1:2" x14ac:dyDescent="0.35">
      <c r="A8" s="3">
        <v>2006</v>
      </c>
      <c r="B8">
        <v>13200</v>
      </c>
    </row>
    <row r="9" spans="1:2" x14ac:dyDescent="0.35">
      <c r="A9" s="3">
        <v>2007</v>
      </c>
      <c r="B9">
        <v>11500</v>
      </c>
    </row>
    <row r="10" spans="1:2" x14ac:dyDescent="0.35">
      <c r="A10" s="3">
        <v>2008</v>
      </c>
      <c r="B10">
        <v>26000</v>
      </c>
    </row>
    <row r="11" spans="1:2" x14ac:dyDescent="0.35">
      <c r="A11" s="3">
        <v>2010</v>
      </c>
      <c r="B11">
        <v>5500</v>
      </c>
    </row>
    <row r="12" spans="1:2" x14ac:dyDescent="0.35">
      <c r="A12" s="3">
        <v>2012</v>
      </c>
      <c r="B12">
        <v>72200</v>
      </c>
    </row>
    <row r="13" spans="1:2" x14ac:dyDescent="0.35">
      <c r="A13" s="3">
        <v>2013</v>
      </c>
      <c r="B13">
        <v>54800</v>
      </c>
    </row>
    <row r="14" spans="1:2" x14ac:dyDescent="0.35">
      <c r="A14" s="3">
        <v>2014</v>
      </c>
      <c r="B14">
        <v>17400</v>
      </c>
    </row>
    <row r="15" spans="1:2" x14ac:dyDescent="0.35">
      <c r="A15" s="3" t="s">
        <v>155</v>
      </c>
      <c r="B15">
        <v>230900</v>
      </c>
    </row>
    <row r="18" spans="1:8" x14ac:dyDescent="0.35">
      <c r="A18" s="2" t="s">
        <v>153</v>
      </c>
      <c r="B18" s="2" t="s">
        <v>156</v>
      </c>
    </row>
    <row r="19" spans="1:8" x14ac:dyDescent="0.35">
      <c r="A19" s="2" t="s">
        <v>154</v>
      </c>
      <c r="B19" t="s">
        <v>73</v>
      </c>
      <c r="C19" t="s">
        <v>40</v>
      </c>
      <c r="D19" t="s">
        <v>48</v>
      </c>
      <c r="E19" t="s">
        <v>56</v>
      </c>
      <c r="F19" t="s">
        <v>22</v>
      </c>
      <c r="G19" t="s">
        <v>64</v>
      </c>
      <c r="H19" t="s">
        <v>155</v>
      </c>
    </row>
    <row r="20" spans="1:8" x14ac:dyDescent="0.35">
      <c r="A20" s="3" t="s">
        <v>61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0.13244444444444445</v>
      </c>
      <c r="H20" s="4">
        <v>0.13244444444444445</v>
      </c>
    </row>
    <row r="21" spans="1:8" x14ac:dyDescent="0.35">
      <c r="A21" s="3" t="s">
        <v>147</v>
      </c>
      <c r="B21" s="4">
        <v>0</v>
      </c>
      <c r="C21" s="4">
        <v>0</v>
      </c>
      <c r="D21" s="4">
        <v>0</v>
      </c>
      <c r="E21" s="4">
        <v>4.3999999999999997E-2</v>
      </c>
      <c r="F21" s="4">
        <v>0</v>
      </c>
      <c r="G21" s="4">
        <v>0</v>
      </c>
      <c r="H21" s="4">
        <v>4.3999999999999997E-2</v>
      </c>
    </row>
    <row r="22" spans="1:8" x14ac:dyDescent="0.35">
      <c r="A22" s="3" t="s">
        <v>132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8.0000000000000002E-3</v>
      </c>
      <c r="H22" s="4">
        <v>8.0000000000000002E-3</v>
      </c>
    </row>
    <row r="23" spans="1:8" x14ac:dyDescent="0.35">
      <c r="A23" s="3" t="s">
        <v>127</v>
      </c>
      <c r="B23" s="4">
        <v>0</v>
      </c>
      <c r="C23" s="4">
        <v>0</v>
      </c>
      <c r="D23" s="4">
        <v>1.1555555555555555E-2</v>
      </c>
      <c r="E23" s="4">
        <v>0</v>
      </c>
      <c r="F23" s="4">
        <v>0</v>
      </c>
      <c r="G23" s="4">
        <v>0</v>
      </c>
      <c r="H23" s="4">
        <v>1.1555555555555555E-2</v>
      </c>
    </row>
    <row r="24" spans="1:8" x14ac:dyDescent="0.35">
      <c r="A24" s="3" t="s">
        <v>138</v>
      </c>
      <c r="B24" s="4">
        <v>0</v>
      </c>
      <c r="C24" s="4">
        <v>0</v>
      </c>
      <c r="D24" s="4">
        <v>0</v>
      </c>
      <c r="E24" s="4">
        <v>0</v>
      </c>
      <c r="F24" s="4">
        <v>7.5999999999999998E-2</v>
      </c>
      <c r="G24" s="4">
        <v>0</v>
      </c>
      <c r="H24" s="4">
        <v>7.5999999999999998E-2</v>
      </c>
    </row>
    <row r="25" spans="1:8" x14ac:dyDescent="0.35">
      <c r="A25" s="3" t="s">
        <v>36</v>
      </c>
      <c r="B25" s="4">
        <v>0</v>
      </c>
      <c r="C25" s="4">
        <v>2.711111111111111E-2</v>
      </c>
      <c r="D25" s="4">
        <v>0</v>
      </c>
      <c r="E25" s="4">
        <v>0</v>
      </c>
      <c r="F25" s="4">
        <v>0</v>
      </c>
      <c r="G25" s="4">
        <v>0</v>
      </c>
      <c r="H25" s="4">
        <v>2.711111111111111E-2</v>
      </c>
    </row>
    <row r="26" spans="1:8" x14ac:dyDescent="0.35">
      <c r="A26" s="3" t="s">
        <v>99</v>
      </c>
      <c r="B26" s="4">
        <v>0</v>
      </c>
      <c r="C26" s="4">
        <v>0</v>
      </c>
      <c r="D26" s="4">
        <v>0</v>
      </c>
      <c r="E26" s="4">
        <v>0</v>
      </c>
      <c r="F26" s="4">
        <v>7.7333333333333337E-2</v>
      </c>
      <c r="G26" s="4">
        <v>0</v>
      </c>
      <c r="H26" s="4">
        <v>7.7333333333333337E-2</v>
      </c>
    </row>
    <row r="27" spans="1:8" x14ac:dyDescent="0.35">
      <c r="A27" s="3" t="s">
        <v>45</v>
      </c>
      <c r="B27" s="4">
        <v>0</v>
      </c>
      <c r="C27" s="4">
        <v>0</v>
      </c>
      <c r="D27" s="4">
        <v>4.0000000000000001E-3</v>
      </c>
      <c r="E27" s="4">
        <v>0</v>
      </c>
      <c r="F27" s="4">
        <v>0</v>
      </c>
      <c r="G27" s="4">
        <v>0</v>
      </c>
      <c r="H27" s="4">
        <v>4.0000000000000001E-3</v>
      </c>
    </row>
    <row r="28" spans="1:8" x14ac:dyDescent="0.35">
      <c r="A28" s="3" t="s">
        <v>143</v>
      </c>
      <c r="B28" s="4">
        <v>0</v>
      </c>
      <c r="C28" s="4">
        <v>0</v>
      </c>
      <c r="D28" s="4">
        <v>0</v>
      </c>
      <c r="E28" s="4">
        <v>7.6888888888888896E-2</v>
      </c>
      <c r="F28" s="4">
        <v>0</v>
      </c>
      <c r="G28" s="4">
        <v>0</v>
      </c>
      <c r="H28" s="4">
        <v>7.6888888888888896E-2</v>
      </c>
    </row>
    <row r="29" spans="1:8" x14ac:dyDescent="0.35">
      <c r="A29" s="3" t="s">
        <v>77</v>
      </c>
      <c r="B29" s="4">
        <v>5.1111111111111114E-2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5.1111111111111114E-2</v>
      </c>
    </row>
    <row r="30" spans="1:8" x14ac:dyDescent="0.35">
      <c r="A30" s="3" t="s">
        <v>28</v>
      </c>
      <c r="B30" s="4">
        <v>0</v>
      </c>
      <c r="C30" s="4">
        <v>0</v>
      </c>
      <c r="D30" s="4">
        <v>0</v>
      </c>
      <c r="E30" s="4">
        <v>0</v>
      </c>
      <c r="F30" s="4">
        <v>5.8666666666666666E-2</v>
      </c>
      <c r="G30" s="4">
        <v>0</v>
      </c>
      <c r="H30" s="4">
        <v>5.8666666666666666E-2</v>
      </c>
    </row>
    <row r="31" spans="1:8" x14ac:dyDescent="0.35">
      <c r="A31" s="3" t="s">
        <v>107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5.7777777777777775E-2</v>
      </c>
      <c r="H31" s="4">
        <v>5.7777777777777775E-2</v>
      </c>
    </row>
    <row r="32" spans="1:8" x14ac:dyDescent="0.35">
      <c r="A32" s="3" t="s">
        <v>116</v>
      </c>
      <c r="B32" s="4">
        <v>0</v>
      </c>
      <c r="C32" s="4">
        <v>0</v>
      </c>
      <c r="D32" s="4">
        <v>0</v>
      </c>
      <c r="E32" s="4">
        <v>0</v>
      </c>
      <c r="F32" s="4">
        <v>5.1111111111111114E-2</v>
      </c>
      <c r="G32" s="4">
        <v>0</v>
      </c>
      <c r="H32" s="4">
        <v>5.1111111111111114E-2</v>
      </c>
    </row>
    <row r="33" spans="1:16" x14ac:dyDescent="0.35">
      <c r="A33" s="3" t="s">
        <v>85</v>
      </c>
      <c r="B33" s="4">
        <v>0</v>
      </c>
      <c r="C33" s="4">
        <v>2.4444444444444446E-2</v>
      </c>
      <c r="D33" s="4">
        <v>0</v>
      </c>
      <c r="E33" s="4">
        <v>0</v>
      </c>
      <c r="F33" s="4">
        <v>0</v>
      </c>
      <c r="G33" s="4">
        <v>0</v>
      </c>
      <c r="H33" s="4">
        <v>2.4444444444444446E-2</v>
      </c>
    </row>
    <row r="34" spans="1:16" x14ac:dyDescent="0.35">
      <c r="A34" s="3" t="s">
        <v>17</v>
      </c>
      <c r="B34" s="4">
        <v>0</v>
      </c>
      <c r="C34" s="4">
        <v>0</v>
      </c>
      <c r="D34" s="4">
        <v>0</v>
      </c>
      <c r="E34" s="4">
        <v>0</v>
      </c>
      <c r="F34" s="4">
        <v>5.7777777777777775E-2</v>
      </c>
      <c r="G34" s="4">
        <v>0</v>
      </c>
      <c r="H34" s="4">
        <v>5.7777777777777775E-2</v>
      </c>
    </row>
    <row r="35" spans="1:16" x14ac:dyDescent="0.35">
      <c r="A35" s="3" t="s">
        <v>69</v>
      </c>
      <c r="B35" s="4">
        <v>5.0666666666666665E-2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5.0666666666666665E-2</v>
      </c>
    </row>
    <row r="36" spans="1:16" x14ac:dyDescent="0.35">
      <c r="A36" s="3" t="s">
        <v>92</v>
      </c>
      <c r="B36" s="4">
        <v>6.6666666666666671E-3</v>
      </c>
      <c r="C36" s="4">
        <v>0</v>
      </c>
      <c r="D36" s="4">
        <v>0</v>
      </c>
      <c r="E36" s="4">
        <v>0</v>
      </c>
      <c r="F36" s="4">
        <v>0.1111111111111111</v>
      </c>
      <c r="G36" s="4">
        <v>0</v>
      </c>
      <c r="H36" s="4">
        <v>0.11777777777777777</v>
      </c>
    </row>
    <row r="37" spans="1:16" x14ac:dyDescent="0.35">
      <c r="A37" s="3" t="s">
        <v>53</v>
      </c>
      <c r="B37" s="4">
        <v>0</v>
      </c>
      <c r="C37" s="4">
        <v>0</v>
      </c>
      <c r="D37" s="4">
        <v>0</v>
      </c>
      <c r="E37" s="4">
        <v>7.3333333333333334E-2</v>
      </c>
      <c r="F37" s="4">
        <v>0</v>
      </c>
      <c r="G37" s="4">
        <v>0</v>
      </c>
      <c r="H37" s="4">
        <v>7.3333333333333334E-2</v>
      </c>
    </row>
    <row r="38" spans="1:16" x14ac:dyDescent="0.35">
      <c r="A38" s="3" t="s">
        <v>155</v>
      </c>
      <c r="B38" s="4">
        <v>0.10844444444444444</v>
      </c>
      <c r="C38" s="4">
        <v>5.1555555555555556E-2</v>
      </c>
      <c r="D38" s="4">
        <v>1.5555555555555555E-2</v>
      </c>
      <c r="E38" s="4">
        <v>0.19422222222222221</v>
      </c>
      <c r="F38" s="4">
        <v>0.432</v>
      </c>
      <c r="G38" s="4">
        <v>0.19822222222222222</v>
      </c>
      <c r="H38" s="4">
        <v>1</v>
      </c>
    </row>
    <row r="40" spans="1:16" x14ac:dyDescent="0.35">
      <c r="A40" s="2" t="s">
        <v>153</v>
      </c>
      <c r="B40" s="2" t="s">
        <v>156</v>
      </c>
    </row>
    <row r="41" spans="1:16" x14ac:dyDescent="0.35">
      <c r="A41" s="2" t="s">
        <v>154</v>
      </c>
      <c r="B41" t="s">
        <v>52</v>
      </c>
      <c r="C41" t="s">
        <v>60</v>
      </c>
      <c r="D41" t="s">
        <v>98</v>
      </c>
      <c r="E41" t="s">
        <v>84</v>
      </c>
      <c r="F41" t="s">
        <v>35</v>
      </c>
      <c r="G41" t="s">
        <v>44</v>
      </c>
      <c r="H41" t="s">
        <v>16</v>
      </c>
      <c r="I41" t="s">
        <v>137</v>
      </c>
      <c r="J41" t="s">
        <v>68</v>
      </c>
      <c r="K41" t="s">
        <v>76</v>
      </c>
      <c r="L41" t="s">
        <v>27</v>
      </c>
      <c r="M41" t="s">
        <v>106</v>
      </c>
      <c r="N41" t="s">
        <v>126</v>
      </c>
      <c r="O41" t="s">
        <v>146</v>
      </c>
      <c r="P41" t="s">
        <v>155</v>
      </c>
    </row>
    <row r="42" spans="1:16" x14ac:dyDescent="0.35">
      <c r="A42" s="3">
        <v>1</v>
      </c>
      <c r="B42" s="4">
        <v>0</v>
      </c>
      <c r="C42" s="4">
        <v>0</v>
      </c>
      <c r="D42" s="4">
        <v>7.795582503248159E-3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7.795582503248159E-3</v>
      </c>
    </row>
    <row r="43" spans="1:16" x14ac:dyDescent="0.35">
      <c r="A43" s="3">
        <v>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3.8977912516240795E-3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4.2875703767864877E-2</v>
      </c>
      <c r="P43" s="4">
        <v>4.6773495019488957E-2</v>
      </c>
    </row>
    <row r="44" spans="1:16" x14ac:dyDescent="0.35">
      <c r="A44" s="3">
        <v>22</v>
      </c>
      <c r="B44" s="4">
        <v>4.9805110437418795E-2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4.9805110437418795E-2</v>
      </c>
    </row>
    <row r="45" spans="1:16" x14ac:dyDescent="0.35">
      <c r="A45" s="3">
        <v>24</v>
      </c>
      <c r="B45" s="4">
        <v>0</v>
      </c>
      <c r="C45" s="4">
        <v>0</v>
      </c>
      <c r="D45" s="4">
        <v>0</v>
      </c>
      <c r="E45" s="4">
        <v>0</v>
      </c>
      <c r="F45" s="4">
        <v>2.6418362927674317E-2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2.6418362927674317E-2</v>
      </c>
    </row>
    <row r="46" spans="1:16" x14ac:dyDescent="0.35">
      <c r="A46" s="3">
        <v>25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1.126028583802512E-2</v>
      </c>
      <c r="O46" s="4">
        <v>0</v>
      </c>
      <c r="P46" s="4">
        <v>1.126028583802512E-2</v>
      </c>
    </row>
    <row r="47" spans="1:16" x14ac:dyDescent="0.35">
      <c r="A47" s="3">
        <v>27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4.9805110437418795E-2</v>
      </c>
      <c r="L47" s="4">
        <v>0</v>
      </c>
      <c r="M47" s="4">
        <v>0</v>
      </c>
      <c r="N47" s="4">
        <v>0</v>
      </c>
      <c r="O47" s="4">
        <v>0</v>
      </c>
      <c r="P47" s="4">
        <v>4.9805110437418795E-2</v>
      </c>
    </row>
    <row r="48" spans="1:16" x14ac:dyDescent="0.35">
      <c r="A48" s="3">
        <v>28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6.4963187527067997E-3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6.4963187527067997E-3</v>
      </c>
    </row>
    <row r="49" spans="1:16" x14ac:dyDescent="0.35">
      <c r="A49" s="3">
        <v>29</v>
      </c>
      <c r="B49" s="4">
        <v>0</v>
      </c>
      <c r="C49" s="4">
        <v>0</v>
      </c>
      <c r="D49" s="4">
        <v>0</v>
      </c>
      <c r="E49" s="4">
        <v>2.5552187093980078E-2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2.5552187093980078E-2</v>
      </c>
    </row>
    <row r="50" spans="1:16" x14ac:dyDescent="0.35">
      <c r="A50" s="3">
        <v>31</v>
      </c>
      <c r="B50" s="4">
        <v>0</v>
      </c>
      <c r="C50" s="4">
        <v>0</v>
      </c>
      <c r="D50" s="4">
        <v>0</v>
      </c>
      <c r="E50" s="4">
        <v>2.3819835426591596E-2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2.3819835426591596E-2</v>
      </c>
    </row>
    <row r="51" spans="1:16" x14ac:dyDescent="0.35">
      <c r="A51" s="3">
        <v>33</v>
      </c>
      <c r="B51" s="4">
        <v>7.1459506279774793E-2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7.1459506279774793E-2</v>
      </c>
    </row>
    <row r="52" spans="1:16" x14ac:dyDescent="0.35">
      <c r="A52" s="3">
        <v>34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4.9372022520571678E-2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4.9372022520571678E-2</v>
      </c>
    </row>
    <row r="53" spans="1:16" x14ac:dyDescent="0.35">
      <c r="A53" s="3">
        <v>35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5.6301429190125596E-2</v>
      </c>
      <c r="N53" s="4">
        <v>0</v>
      </c>
      <c r="O53" s="4">
        <v>0</v>
      </c>
      <c r="P53" s="4">
        <v>5.6301429190125596E-2</v>
      </c>
    </row>
    <row r="54" spans="1:16" x14ac:dyDescent="0.35">
      <c r="A54" s="3">
        <v>36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7.4924209614551748E-2</v>
      </c>
      <c r="L54" s="4">
        <v>0</v>
      </c>
      <c r="M54" s="4">
        <v>0</v>
      </c>
      <c r="N54" s="4">
        <v>0</v>
      </c>
      <c r="O54" s="4">
        <v>0</v>
      </c>
      <c r="P54" s="4">
        <v>7.4924209614551748E-2</v>
      </c>
    </row>
    <row r="55" spans="1:16" x14ac:dyDescent="0.35">
      <c r="A55" s="3">
        <v>37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5.6301429190125596E-2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5.6301429190125596E-2</v>
      </c>
    </row>
    <row r="56" spans="1:16" x14ac:dyDescent="0.35">
      <c r="A56" s="3">
        <v>39</v>
      </c>
      <c r="B56" s="4">
        <v>0</v>
      </c>
      <c r="C56" s="4">
        <v>0.12906019922044176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0.12906019922044176</v>
      </c>
    </row>
    <row r="57" spans="1:16" x14ac:dyDescent="0.35">
      <c r="A57" s="3">
        <v>41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7.4058033780857513E-2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7.4058033780857513E-2</v>
      </c>
    </row>
    <row r="58" spans="1:16" x14ac:dyDescent="0.35">
      <c r="A58" s="3">
        <v>43</v>
      </c>
      <c r="B58" s="4">
        <v>0</v>
      </c>
      <c r="C58" s="4">
        <v>0</v>
      </c>
      <c r="D58" s="4">
        <v>7.5357297531398873E-2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7.5357297531398873E-2</v>
      </c>
    </row>
    <row r="59" spans="1:16" x14ac:dyDescent="0.35">
      <c r="A59" s="3">
        <v>45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5.7167605023819838E-2</v>
      </c>
      <c r="M59" s="4">
        <v>0</v>
      </c>
      <c r="N59" s="4">
        <v>0</v>
      </c>
      <c r="O59" s="4">
        <v>0</v>
      </c>
      <c r="P59" s="4">
        <v>5.7167605023819838E-2</v>
      </c>
    </row>
    <row r="60" spans="1:16" x14ac:dyDescent="0.35">
      <c r="A60" s="3">
        <v>47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0.10827197921177999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0.10827197921177999</v>
      </c>
    </row>
    <row r="61" spans="1:16" x14ac:dyDescent="0.35">
      <c r="A61" s="3" t="s">
        <v>155</v>
      </c>
      <c r="B61" s="4">
        <v>0.12126461671719359</v>
      </c>
      <c r="C61" s="4">
        <v>0.12906019922044176</v>
      </c>
      <c r="D61" s="4">
        <v>8.3152880034647034E-2</v>
      </c>
      <c r="E61" s="4">
        <v>4.9372022520571678E-2</v>
      </c>
      <c r="F61" s="4">
        <v>2.6418362927674317E-2</v>
      </c>
      <c r="G61" s="4">
        <v>0.11866608921611087</v>
      </c>
      <c r="H61" s="4">
        <v>5.6301429190125596E-2</v>
      </c>
      <c r="I61" s="4">
        <v>7.4058033780857513E-2</v>
      </c>
      <c r="J61" s="4">
        <v>4.9372022520571678E-2</v>
      </c>
      <c r="K61" s="4">
        <v>0.12472932005197054</v>
      </c>
      <c r="L61" s="4">
        <v>5.7167605023819838E-2</v>
      </c>
      <c r="M61" s="4">
        <v>5.6301429190125596E-2</v>
      </c>
      <c r="N61" s="4">
        <v>1.126028583802512E-2</v>
      </c>
      <c r="O61" s="4">
        <v>4.2875703767864877E-2</v>
      </c>
      <c r="P61" s="4">
        <v>1</v>
      </c>
    </row>
    <row r="63" spans="1:16" x14ac:dyDescent="0.35">
      <c r="A63" s="2" t="s">
        <v>153</v>
      </c>
      <c r="B63" s="2" t="s">
        <v>156</v>
      </c>
    </row>
    <row r="64" spans="1:16" x14ac:dyDescent="0.35">
      <c r="A64" s="2" t="s">
        <v>154</v>
      </c>
      <c r="B64" t="s">
        <v>19</v>
      </c>
      <c r="C64" t="s">
        <v>78</v>
      </c>
      <c r="D64" t="s">
        <v>155</v>
      </c>
    </row>
    <row r="65" spans="1:4" x14ac:dyDescent="0.35">
      <c r="A65" s="5">
        <v>42018</v>
      </c>
      <c r="B65" s="4">
        <v>2.9382470119521914E-2</v>
      </c>
      <c r="C65" s="4">
        <v>5.7270916334661352E-2</v>
      </c>
      <c r="D65" s="4">
        <v>8.6653386454183273E-2</v>
      </c>
    </row>
    <row r="66" spans="1:4" x14ac:dyDescent="0.35">
      <c r="A66" s="5">
        <v>42019</v>
      </c>
      <c r="B66" s="4">
        <v>0.15288844621513945</v>
      </c>
      <c r="C66" s="4">
        <v>0</v>
      </c>
      <c r="D66" s="4">
        <v>0.15288844621513945</v>
      </c>
    </row>
    <row r="67" spans="1:4" x14ac:dyDescent="0.35">
      <c r="A67" s="5">
        <v>42020</v>
      </c>
      <c r="B67" s="4">
        <v>0.17828685258964144</v>
      </c>
      <c r="C67" s="4">
        <v>0</v>
      </c>
      <c r="D67" s="4">
        <v>0.17828685258964144</v>
      </c>
    </row>
    <row r="68" spans="1:4" x14ac:dyDescent="0.35">
      <c r="A68" s="5">
        <v>42024</v>
      </c>
      <c r="B68" s="4">
        <v>9.1633466135458169E-2</v>
      </c>
      <c r="C68" s="4">
        <v>0</v>
      </c>
      <c r="D68" s="4">
        <v>9.1633466135458169E-2</v>
      </c>
    </row>
    <row r="69" spans="1:4" x14ac:dyDescent="0.35">
      <c r="A69" s="5">
        <v>42025</v>
      </c>
      <c r="B69" s="4">
        <v>0.17380478087649404</v>
      </c>
      <c r="C69" s="4">
        <v>0</v>
      </c>
      <c r="D69" s="4">
        <v>0.17380478087649404</v>
      </c>
    </row>
    <row r="70" spans="1:4" x14ac:dyDescent="0.35">
      <c r="A70" s="5">
        <v>42026</v>
      </c>
      <c r="B70" s="4">
        <v>0.30776892430278885</v>
      </c>
      <c r="C70" s="4">
        <v>0</v>
      </c>
      <c r="D70" s="4">
        <v>0.30776892430278885</v>
      </c>
    </row>
    <row r="71" spans="1:4" x14ac:dyDescent="0.35">
      <c r="A71" s="5">
        <v>42054</v>
      </c>
      <c r="B71" s="4">
        <v>8.9641434262948214E-3</v>
      </c>
      <c r="C71" s="4">
        <v>0</v>
      </c>
      <c r="D71" s="4">
        <v>8.9641434262948214E-3</v>
      </c>
    </row>
    <row r="72" spans="1:4" x14ac:dyDescent="0.35">
      <c r="A72" s="3" t="s">
        <v>155</v>
      </c>
      <c r="B72" s="4">
        <v>0.9427290836653387</v>
      </c>
      <c r="C72" s="4">
        <v>5.7270916334661352E-2</v>
      </c>
      <c r="D72" s="4">
        <v>1</v>
      </c>
    </row>
    <row r="80" spans="1:4" x14ac:dyDescent="0.35">
      <c r="A80" s="2" t="s">
        <v>153</v>
      </c>
      <c r="B80" s="2" t="s">
        <v>156</v>
      </c>
    </row>
    <row r="81" spans="1:18" x14ac:dyDescent="0.35">
      <c r="A81" s="2" t="s">
        <v>154</v>
      </c>
      <c r="B81" t="s">
        <v>148</v>
      </c>
      <c r="C81" t="s">
        <v>62</v>
      </c>
      <c r="D81" t="s">
        <v>54</v>
      </c>
      <c r="E81" t="s">
        <v>128</v>
      </c>
      <c r="F81" t="s">
        <v>139</v>
      </c>
      <c r="G81" t="s">
        <v>144</v>
      </c>
      <c r="H81" t="s">
        <v>70</v>
      </c>
      <c r="I81" t="s">
        <v>29</v>
      </c>
      <c r="J81" t="s">
        <v>100</v>
      </c>
      <c r="K81" t="s">
        <v>46</v>
      </c>
      <c r="L81" t="s">
        <v>121</v>
      </c>
      <c r="M81" t="s">
        <v>93</v>
      </c>
      <c r="N81" t="s">
        <v>133</v>
      </c>
      <c r="O81" t="s">
        <v>18</v>
      </c>
      <c r="P81" t="s">
        <v>37</v>
      </c>
      <c r="Q81" t="s">
        <v>86</v>
      </c>
      <c r="R81" t="s">
        <v>155</v>
      </c>
    </row>
    <row r="82" spans="1:18" x14ac:dyDescent="0.35">
      <c r="A82" s="3">
        <v>1995</v>
      </c>
      <c r="N82">
        <v>1800</v>
      </c>
      <c r="R82">
        <v>1800</v>
      </c>
    </row>
    <row r="83" spans="1:18" x14ac:dyDescent="0.35">
      <c r="A83" s="3">
        <v>2001</v>
      </c>
      <c r="E83">
        <v>2600</v>
      </c>
      <c r="R83">
        <v>2600</v>
      </c>
    </row>
    <row r="84" spans="1:18" x14ac:dyDescent="0.35">
      <c r="A84" s="3">
        <v>2004</v>
      </c>
      <c r="K84">
        <v>900</v>
      </c>
      <c r="L84">
        <v>1500</v>
      </c>
      <c r="R84">
        <v>2400</v>
      </c>
    </row>
    <row r="85" spans="1:18" x14ac:dyDescent="0.35">
      <c r="A85" s="3">
        <v>2005</v>
      </c>
      <c r="D85">
        <v>11500</v>
      </c>
      <c r="I85">
        <v>5900</v>
      </c>
      <c r="P85">
        <v>6100</v>
      </c>
      <c r="R85">
        <v>23500</v>
      </c>
    </row>
    <row r="86" spans="1:18" x14ac:dyDescent="0.35">
      <c r="A86" s="3">
        <v>2006</v>
      </c>
      <c r="I86">
        <v>13200</v>
      </c>
      <c r="R86">
        <v>13200</v>
      </c>
    </row>
    <row r="87" spans="1:18" x14ac:dyDescent="0.35">
      <c r="A87" s="3">
        <v>2007</v>
      </c>
      <c r="D87">
        <v>11500</v>
      </c>
      <c r="R87">
        <v>11500</v>
      </c>
    </row>
    <row r="88" spans="1:18" x14ac:dyDescent="0.35">
      <c r="A88" s="3">
        <v>2008</v>
      </c>
      <c r="D88">
        <v>13000</v>
      </c>
      <c r="O88">
        <v>13000</v>
      </c>
      <c r="R88">
        <v>26000</v>
      </c>
    </row>
    <row r="89" spans="1:18" x14ac:dyDescent="0.35">
      <c r="A89" s="3">
        <v>2010</v>
      </c>
      <c r="Q89">
        <v>5500</v>
      </c>
      <c r="R89">
        <v>5500</v>
      </c>
    </row>
    <row r="90" spans="1:18" x14ac:dyDescent="0.35">
      <c r="A90" s="3">
        <v>2012</v>
      </c>
      <c r="B90">
        <v>9900</v>
      </c>
      <c r="D90">
        <v>16500</v>
      </c>
      <c r="F90">
        <v>17100</v>
      </c>
      <c r="G90">
        <v>17300</v>
      </c>
      <c r="H90">
        <v>11400</v>
      </c>
      <c r="R90">
        <v>72200</v>
      </c>
    </row>
    <row r="91" spans="1:18" x14ac:dyDescent="0.35">
      <c r="A91" s="3">
        <v>2013</v>
      </c>
      <c r="C91">
        <v>29800</v>
      </c>
      <c r="M91">
        <v>25000</v>
      </c>
      <c r="R91">
        <v>54800</v>
      </c>
    </row>
    <row r="92" spans="1:18" x14ac:dyDescent="0.35">
      <c r="A92" s="3">
        <v>2014</v>
      </c>
      <c r="J92">
        <v>17400</v>
      </c>
      <c r="R92">
        <v>17400</v>
      </c>
    </row>
    <row r="93" spans="1:18" x14ac:dyDescent="0.35">
      <c r="A93" s="3" t="s">
        <v>155</v>
      </c>
      <c r="B93">
        <v>9900</v>
      </c>
      <c r="C93">
        <v>29800</v>
      </c>
      <c r="D93">
        <v>52500</v>
      </c>
      <c r="E93">
        <v>2600</v>
      </c>
      <c r="F93">
        <v>17100</v>
      </c>
      <c r="G93">
        <v>17300</v>
      </c>
      <c r="H93">
        <v>11400</v>
      </c>
      <c r="I93">
        <v>19100</v>
      </c>
      <c r="J93">
        <v>17400</v>
      </c>
      <c r="K93">
        <v>900</v>
      </c>
      <c r="L93">
        <v>1500</v>
      </c>
      <c r="M93">
        <v>25000</v>
      </c>
      <c r="N93">
        <v>1800</v>
      </c>
      <c r="O93">
        <v>13000</v>
      </c>
      <c r="P93">
        <v>6100</v>
      </c>
      <c r="Q93">
        <v>5500</v>
      </c>
      <c r="R93">
        <v>230900</v>
      </c>
    </row>
    <row r="98" spans="1:4" x14ac:dyDescent="0.35">
      <c r="A98" s="2" t="s">
        <v>153</v>
      </c>
      <c r="B98" s="2" t="s">
        <v>156</v>
      </c>
    </row>
    <row r="99" spans="1:4" x14ac:dyDescent="0.35">
      <c r="A99" s="2" t="s">
        <v>154</v>
      </c>
      <c r="B99" t="s">
        <v>19</v>
      </c>
      <c r="C99" t="s">
        <v>78</v>
      </c>
      <c r="D99" t="s">
        <v>155</v>
      </c>
    </row>
    <row r="100" spans="1:4" x14ac:dyDescent="0.35">
      <c r="A100" s="3" t="s">
        <v>102</v>
      </c>
      <c r="B100" s="4">
        <v>8.6653386454183273E-2</v>
      </c>
      <c r="C100" s="4">
        <v>0</v>
      </c>
      <c r="D100" s="4">
        <v>8.6653386454183273E-2</v>
      </c>
    </row>
    <row r="101" spans="1:4" x14ac:dyDescent="0.35">
      <c r="A101" s="3" t="s">
        <v>80</v>
      </c>
      <c r="B101" s="4">
        <v>2.1912350597609563E-2</v>
      </c>
      <c r="C101" s="4">
        <v>5.7270916334661352E-2</v>
      </c>
      <c r="D101" s="4">
        <v>7.9183266932270915E-2</v>
      </c>
    </row>
    <row r="102" spans="1:4" x14ac:dyDescent="0.35">
      <c r="A102" s="3" t="s">
        <v>21</v>
      </c>
      <c r="B102" s="4">
        <v>0.21314741035856574</v>
      </c>
      <c r="C102" s="4">
        <v>0</v>
      </c>
      <c r="D102" s="4">
        <v>0.21314741035856574</v>
      </c>
    </row>
    <row r="103" spans="1:4" x14ac:dyDescent="0.35">
      <c r="A103" s="3" t="s">
        <v>118</v>
      </c>
      <c r="B103" s="4">
        <v>5.7270916334661352E-2</v>
      </c>
      <c r="C103" s="4">
        <v>0</v>
      </c>
      <c r="D103" s="4">
        <v>5.7270916334661352E-2</v>
      </c>
    </row>
    <row r="104" spans="1:4" x14ac:dyDescent="0.35">
      <c r="A104" s="3" t="s">
        <v>88</v>
      </c>
      <c r="B104" s="4">
        <v>0.11354581673306773</v>
      </c>
      <c r="C104" s="4">
        <v>0</v>
      </c>
      <c r="D104" s="4">
        <v>0.11354581673306773</v>
      </c>
    </row>
    <row r="105" spans="1:4" x14ac:dyDescent="0.35">
      <c r="A105" s="3" t="s">
        <v>95</v>
      </c>
      <c r="B105" s="4">
        <v>0.12450199203187251</v>
      </c>
      <c r="C105" s="4">
        <v>0</v>
      </c>
      <c r="D105" s="4">
        <v>0.12450199203187251</v>
      </c>
    </row>
    <row r="106" spans="1:4" x14ac:dyDescent="0.35">
      <c r="A106" s="3" t="s">
        <v>111</v>
      </c>
      <c r="B106" s="4">
        <v>3.6852589641434265E-2</v>
      </c>
      <c r="C106" s="4">
        <v>0</v>
      </c>
      <c r="D106" s="4">
        <v>3.6852589641434265E-2</v>
      </c>
    </row>
    <row r="107" spans="1:4" x14ac:dyDescent="0.35">
      <c r="A107" s="3" t="s">
        <v>150</v>
      </c>
      <c r="B107" s="4">
        <v>4.9302788844621512E-2</v>
      </c>
      <c r="C107" s="4">
        <v>0</v>
      </c>
      <c r="D107" s="4">
        <v>4.9302788844621512E-2</v>
      </c>
    </row>
    <row r="108" spans="1:4" x14ac:dyDescent="0.35">
      <c r="A108" s="3" t="s">
        <v>31</v>
      </c>
      <c r="B108" s="4">
        <v>0.15239043824701196</v>
      </c>
      <c r="C108" s="4">
        <v>0</v>
      </c>
      <c r="D108" s="4">
        <v>0.15239043824701196</v>
      </c>
    </row>
    <row r="109" spans="1:4" x14ac:dyDescent="0.35">
      <c r="A109" s="3" t="s">
        <v>39</v>
      </c>
      <c r="B109" s="4">
        <v>3.0378486055776893E-2</v>
      </c>
      <c r="C109" s="4">
        <v>0</v>
      </c>
      <c r="D109" s="4">
        <v>3.0378486055776893E-2</v>
      </c>
    </row>
    <row r="110" spans="1:4" x14ac:dyDescent="0.35">
      <c r="A110" s="3" t="s">
        <v>72</v>
      </c>
      <c r="B110" s="4">
        <v>5.6772908366533863E-2</v>
      </c>
      <c r="C110" s="4">
        <v>0</v>
      </c>
      <c r="D110" s="4">
        <v>5.6772908366533863E-2</v>
      </c>
    </row>
    <row r="111" spans="1:4" x14ac:dyDescent="0.35">
      <c r="A111" s="3" t="s">
        <v>155</v>
      </c>
      <c r="B111" s="4">
        <v>0.9427290836653387</v>
      </c>
      <c r="C111" s="4">
        <v>5.7270916334661352E-2</v>
      </c>
      <c r="D111" s="4">
        <v>1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car_sales_2025-11-15-1415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Bongani Ngcobo</cp:lastModifiedBy>
  <dcterms:created xsi:type="dcterms:W3CDTF">2025-11-15T16:04:59Z</dcterms:created>
  <dcterms:modified xsi:type="dcterms:W3CDTF">2025-11-19T11:55:20Z</dcterms:modified>
</cp:coreProperties>
</file>